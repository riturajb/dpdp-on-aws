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Obligations Matrix" sheetId="2" state="visible" r:id="rId2"/>
    <sheet xmlns:r="http://schemas.openxmlformats.org/officeDocument/2006/relationships" name="Legal Text" sheetId="3" state="visible" r:id="rId3"/>
    <sheet xmlns:r="http://schemas.openxmlformats.org/officeDocument/2006/relationships" name="Event Playbook" sheetId="4" state="visible" r:id="rId4"/>
    <sheet xmlns:r="http://schemas.openxmlformats.org/officeDocument/2006/relationships" name="Timeline" sheetId="5" state="visible" r:id="rId5"/>
    <sheet xmlns:r="http://schemas.openxmlformats.org/officeDocument/2006/relationships" name="Gap Summary" sheetId="6" state="visible" r:id="rId6"/>
    <sheet xmlns:r="http://schemas.openxmlformats.org/officeDocument/2006/relationships" name="Penalties" sheetId="7" state="visible" r:id="rId7"/>
    <sheet xmlns:r="http://schemas.openxmlformats.org/officeDocument/2006/relationships" name="Coverage" sheetId="8" state="visible" r:id="rId8"/>
    <sheet xmlns:r="http://schemas.openxmlformats.org/officeDocument/2006/relationships" name="Identifier Change Log" sheetId="9" state="visible" r:id="rId9"/>
    <sheet xmlns:r="http://schemas.openxmlformats.org/officeDocument/2006/relationships" name="Sources" sheetId="10" state="visible" r:id="rId10"/>
  </sheets>
  <definedNames>
    <definedName name="_xlnm._FilterDatabase" localSheetId="1" hidden="1">'Obligations Matrix'!$A$4:$W$44</definedName>
    <definedName name="_xlnm._FilterDatabase" localSheetId="2" hidden="1">'Legal Text'!$A$4:$D$63</definedName>
    <definedName name="_xlnm._FilterDatabase" localSheetId="3" hidden="1">'Event Playbook'!$A$4:$H$19</definedName>
    <definedName name="_xlnm._FilterDatabase" localSheetId="7" hidden="1">'Coverage'!$A$4:$G$89</definedName>
  </definedNames>
  <calcPr calcId="124519" fullCalcOnLoad="1"/>
</workbook>
</file>

<file path=xl/styles.xml><?xml version="1.0" encoding="utf-8"?>
<styleSheet xmlns="http://schemas.openxmlformats.org/spreadsheetml/2006/main">
  <numFmts count="3">
    <numFmt numFmtId="164" formatCode="yyyy-mm-dd"/>
    <numFmt numFmtId="165" formatCode="dd mmmm yyyy"/>
    <numFmt numFmtId="166" formatCode="#,##0.###"/>
  </numFmts>
  <fonts count="12">
    <font>
      <name val="Calibri"/>
      <family val="2"/>
      <color theme="1"/>
      <sz val="11"/>
      <scheme val="minor"/>
    </font>
    <font>
      <name val="Arial"/>
      <b val="1"/>
      <color rgb="000B1F4B"/>
      <sz val="16"/>
    </font>
    <font>
      <name val="Arial"/>
      <i val="1"/>
      <color rgb="00555555"/>
      <sz val="10"/>
    </font>
    <font>
      <name val="Arial"/>
      <b val="1"/>
      <color rgb="000B1F4B"/>
      <sz val="10"/>
    </font>
    <font>
      <name val="Arial"/>
      <b val="1"/>
      <color rgb="00000000"/>
      <sz val="10"/>
    </font>
    <font>
      <name val="Arial"/>
      <color rgb="00000000"/>
      <sz val="10"/>
    </font>
    <font>
      <name val="Arial"/>
      <b val="1"/>
      <color rgb="00C00000"/>
      <sz val="10"/>
    </font>
    <font>
      <name val="Arial"/>
      <b val="1"/>
      <color rgb="000B1F4B"/>
      <sz val="11"/>
    </font>
    <font>
      <name val="Arial"/>
      <b val="1"/>
      <color rgb="00FFFFFF"/>
      <sz val="10"/>
    </font>
    <font>
      <name val="Arial"/>
      <color rgb="000563C1"/>
      <sz val="10"/>
      <u val="single"/>
    </font>
    <font>
      <name val="Arial"/>
      <i val="1"/>
      <sz val="10"/>
    </font>
    <font>
      <name val="Arial"/>
      <color rgb="00555555"/>
      <sz val="9"/>
    </font>
  </fonts>
  <fills count="8">
    <fill>
      <patternFill/>
    </fill>
    <fill>
      <patternFill patternType="gray125"/>
    </fill>
    <fill>
      <patternFill patternType="solid">
        <fgColor rgb="000B1F4B"/>
      </patternFill>
    </fill>
    <fill>
      <patternFill patternType="solid">
        <fgColor rgb="00FFF2B3"/>
      </patternFill>
    </fill>
    <fill>
      <patternFill patternType="solid">
        <fgColor rgb="00F3F5F8"/>
      </patternFill>
    </fill>
    <fill>
      <patternFill patternType="solid">
        <fgColor rgb="00DCEFFB"/>
      </patternFill>
    </fill>
    <fill>
      <patternFill patternType="solid">
        <fgColor rgb="00E2F0D9"/>
      </patternFill>
    </fill>
    <fill>
      <patternFill patternType="solid">
        <fgColor rgb="00EEF6E8"/>
      </patternFill>
    </fill>
  </fills>
  <borders count="2">
    <border>
      <left/>
      <right/>
      <top/>
      <bottom/>
      <diagonal/>
    </border>
    <border>
      <left style="thin">
        <color rgb="00C9D3E0"/>
      </left>
      <right style="thin">
        <color rgb="00C9D3E0"/>
      </right>
      <top style="thin">
        <color rgb="00C9D3E0"/>
      </top>
      <bottom style="thin">
        <color rgb="00C9D3E0"/>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applyAlignment="1" pivotButton="0" quotePrefix="0" xfId="0">
      <alignment horizontal="left" vertical="top" wrapText="1"/>
    </xf>
    <xf numFmtId="165" fontId="5" fillId="0" borderId="1" applyAlignment="1" pivotButton="0" quotePrefix="0" xfId="0">
      <alignment horizontal="left" vertical="top" wrapText="1"/>
    </xf>
    <xf numFmtId="1" fontId="6" fillId="0" borderId="1" applyAlignment="1" pivotButton="0" quotePrefix="0" xfId="0">
      <alignment horizontal="center" vertical="top" wrapText="1"/>
    </xf>
    <xf numFmtId="0" fontId="7" fillId="0" borderId="0" applyAlignment="1" pivotButton="0" quotePrefix="0" xfId="0">
      <alignment vertical="top" wrapText="1"/>
    </xf>
    <xf numFmtId="0" fontId="5" fillId="0" borderId="0" applyAlignment="1" pivotButton="0" quotePrefix="0" xfId="0">
      <alignment vertical="top" wrapText="1"/>
    </xf>
    <xf numFmtId="0" fontId="8" fillId="2" borderId="1" applyAlignment="1" pivotButton="0" quotePrefix="0" xfId="0">
      <alignment vertical="center" wrapText="1"/>
    </xf>
    <xf numFmtId="0" fontId="5" fillId="0" borderId="1" applyAlignment="1" pivotButton="0" quotePrefix="0" xfId="0">
      <alignment horizontal="left" vertical="top" wrapText="1"/>
    </xf>
    <xf numFmtId="0" fontId="9" fillId="0" borderId="1" applyAlignment="1" pivotButton="0" quotePrefix="0" xfId="0">
      <alignment horizontal="left" vertical="top" wrapText="1"/>
    </xf>
    <xf numFmtId="0" fontId="5" fillId="0" borderId="1" applyAlignment="1" pivotButton="0" quotePrefix="0" xfId="0">
      <alignment horizontal="center" vertical="top"/>
    </xf>
    <xf numFmtId="0" fontId="5" fillId="3" borderId="1" applyAlignment="1" pivotButton="0" quotePrefix="0" xfId="0">
      <alignment horizontal="left" vertical="top" wrapText="1"/>
    </xf>
    <xf numFmtId="165" fontId="5" fillId="3" borderId="1" applyAlignment="1" pivotButton="0" quotePrefix="0" xfId="0">
      <alignment horizontal="left" vertical="top" wrapText="1"/>
    </xf>
    <xf numFmtId="0" fontId="4" fillId="0" borderId="1" applyAlignment="1" pivotButton="0" quotePrefix="0" xfId="0">
      <alignment horizontal="center" vertical="top" wrapText="1"/>
    </xf>
    <xf numFmtId="1" fontId="5" fillId="0" borderId="1" applyAlignment="1" pivotButton="0" quotePrefix="0" xfId="0">
      <alignment horizontal="center" vertical="top" wrapText="1"/>
    </xf>
    <xf numFmtId="165" fontId="4" fillId="0" borderId="1" applyAlignment="1" pivotButton="0" quotePrefix="0" xfId="0">
      <alignment horizontal="left" vertical="top" wrapText="1"/>
    </xf>
    <xf numFmtId="0" fontId="5" fillId="0" borderId="1" applyAlignment="1" pivotButton="0" quotePrefix="0" xfId="0">
      <alignment horizontal="center" vertical="top" wrapText="1"/>
    </xf>
    <xf numFmtId="9" fontId="5" fillId="0" borderId="1" applyAlignment="1" pivotButton="0" quotePrefix="0" xfId="0">
      <alignment horizontal="center" vertical="top" wrapText="1"/>
    </xf>
    <xf numFmtId="0" fontId="6" fillId="0" borderId="1" applyAlignment="1" pivotButton="0" quotePrefix="0" xfId="0">
      <alignment horizontal="center" vertical="top" wrapText="1"/>
    </xf>
    <xf numFmtId="0" fontId="4" fillId="4" borderId="1" applyAlignment="1" pivotButton="0" quotePrefix="0" xfId="0">
      <alignment horizontal="left" vertical="top" wrapText="1"/>
    </xf>
    <xf numFmtId="0" fontId="4" fillId="4" borderId="1" applyAlignment="1" pivotButton="0" quotePrefix="0" xfId="0">
      <alignment horizontal="center" vertical="top" wrapText="1"/>
    </xf>
    <xf numFmtId="9" fontId="4" fillId="4" borderId="1" applyAlignment="1" pivotButton="0" quotePrefix="0" xfId="0">
      <alignment horizontal="center" vertical="top" wrapText="1"/>
    </xf>
    <xf numFmtId="0" fontId="6" fillId="4" borderId="1" applyAlignment="1" pivotButton="0" quotePrefix="0" xfId="0">
      <alignment horizontal="center" vertical="top" wrapText="1"/>
    </xf>
    <xf numFmtId="166" fontId="5" fillId="0" borderId="1" applyAlignment="1" pivotButton="0" quotePrefix="0" xfId="0">
      <alignment horizontal="center" vertical="top" wrapText="1"/>
    </xf>
    <xf numFmtId="0" fontId="10" fillId="0" borderId="0" applyAlignment="1" pivotButton="0" quotePrefix="0" xfId="0">
      <alignment wrapText="1"/>
    </xf>
    <xf numFmtId="0" fontId="11" fillId="0" borderId="0" pivotButton="0" quotePrefix="0" xfId="0"/>
    <xf numFmtId="0" fontId="7" fillId="0" borderId="0" pivotButton="0" quotePrefix="0" xfId="0"/>
    <xf numFmtId="0" fontId="5"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4" fillId="7" borderId="1" applyAlignment="1" pivotButton="0" quotePrefix="0" xfId="0">
      <alignment horizontal="left" vertical="top" wrapText="1"/>
    </xf>
    <xf numFmtId="0" fontId="5" fillId="7" borderId="1" applyAlignment="1" pivotButton="0" quotePrefix="0" xfId="0">
      <alignment horizontal="left" vertical="top" wrapText="1"/>
    </xf>
    <xf numFmtId="0" fontId="3" fillId="0" borderId="0" applyAlignment="1" pivotButton="0" quotePrefix="0" xfId="0">
      <alignment vertical="top" wrapText="1"/>
    </xf>
  </cellXfs>
  <cellStyles count="1">
    <cellStyle name="Normal" xfId="0" builtinId="0" hidden="0"/>
  </cellStyles>
  <dxfs count="6">
    <dxf>
      <fill>
        <patternFill patternType="solid">
          <fgColor rgb="00C6EFCE"/>
        </patternFill>
      </fill>
    </dxf>
    <dxf>
      <fill>
        <patternFill patternType="solid">
          <fgColor rgb="00FFE3A3"/>
        </patternFill>
      </fill>
    </dxf>
    <dxf>
      <fill>
        <patternFill patternType="solid">
          <fgColor rgb="00F8C9C9"/>
        </patternFill>
      </fill>
    </dxf>
    <dxf>
      <font>
        <name val="Arial"/>
        <b val="1"/>
        <color rgb="00C00000"/>
      </font>
    </dxf>
    <dxf>
      <font>
        <name val="Arial"/>
        <color rgb="002E7D32"/>
      </font>
    </dxf>
    <dxf>
      <fill>
        <patternFill patternType="solid">
          <fgColor rgb="00DCEFF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Workbook</author>
  </authors>
  <commentList>
    <comment ref="B5" authorId="0" shapeId="0">
      <text>
        <t>Source: Rules, Rule 1(3): Rule 4 comes into force one year after publication on 13 November 2025.</t>
      </text>
    </comment>
    <comment ref="B6" authorId="0" shapeId="0">
      <text>
        <t>Source: Rules, Rule 1(4): eighteen months after publication. The Ministry proposed shortening this in January 2026; no notification was found in the sources checked up to October 2026.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32B8EB"/>
    <outlinePr summaryBelow="1" summaryRight="1"/>
    <pageSetUpPr/>
  </sheetPr>
  <dimension ref="A1:C42"/>
  <sheetViews>
    <sheetView showGridLines="0" workbookViewId="0">
      <selection activeCell="A1" sqref="A1"/>
    </sheetView>
  </sheetViews>
  <sheetFormatPr baseColWidth="8" defaultRowHeight="15"/>
  <cols>
    <col width="70" customWidth="1" min="1" max="1"/>
    <col width="18" customWidth="1" min="2" max="2"/>
    <col width="70" customWidth="1" min="3" max="3"/>
  </cols>
  <sheetData>
    <row r="1">
      <c r="A1" s="1" t="inlineStr">
        <is>
          <t>DPDP Obligations Matrix: gap analysis workbook (version 3, 15 October 2026)</t>
        </is>
      </c>
    </row>
    <row r="2">
      <c r="A2" s="2" t="inlineStr">
        <is>
          <t>Digital Personal Data Protection Act, 2023 and Digital Personal Data Protection Rules, 2025 (G.S.R. 846(E), 13 November 2025). A working tool for gap analysis. It is not legal advice.</t>
        </is>
      </c>
    </row>
    <row r="3">
      <c r="C3" s="3" t="inlineStr">
        <is>
          <t>Days remaining</t>
        </is>
      </c>
    </row>
    <row r="4">
      <c r="A4" s="4" t="inlineStr">
        <is>
          <t>Today's date</t>
        </is>
      </c>
      <c r="B4" s="5">
        <f>TODAY()</f>
        <v/>
      </c>
    </row>
    <row r="5">
      <c r="A5" s="4" t="inlineStr">
        <is>
          <t>Consent Manager registration opens (Rule 4 comes into force)</t>
        </is>
      </c>
      <c r="B5" s="5" t="n">
        <v>46339</v>
      </c>
      <c r="C5" s="6">
        <f>MAX(0,B5-$B$4)</f>
        <v/>
      </c>
    </row>
    <row r="6">
      <c r="A6" s="4" t="inlineStr">
        <is>
          <t>Main obligations apply (Rules 3, 5 to 16, 22 and 23 come into force)</t>
        </is>
      </c>
      <c r="B6" s="5" t="n">
        <v>46520</v>
      </c>
      <c r="C6" s="6">
        <f>MAX(0,B6-$B$4)</f>
        <v/>
      </c>
    </row>
    <row r="9" ht="16" customHeight="1">
      <c r="A9" s="7" t="inlineStr">
        <is>
          <t>HOW THE CONTROL IDENTIFIERS ARE BUILT</t>
        </is>
      </c>
    </row>
    <row r="10" ht="16" customHeight="1">
      <c r="A10" s="8" t="inlineStr">
        <is>
          <t>Every control identifier is taken from the law's own numbering, so anyone can check it against the Gazette.</t>
        </is>
      </c>
    </row>
    <row r="11" ht="16" customHeight="1">
      <c r="A11" s="8" t="inlineStr">
        <is>
          <t>DPDP-Act-S8(5) means Section 8(5) of the Digital Personal Data Protection Act, 2023.</t>
        </is>
      </c>
    </row>
    <row r="12" ht="16" customHeight="1">
      <c r="A12" s="8" t="inlineStr">
        <is>
          <t>DPDP-Rule-7(2) means Rule 7(2) of the Digital Personal Data Protection Rules, 2025.</t>
        </is>
      </c>
    </row>
    <row r="13" ht="30" customHeight="1">
      <c r="A13" s="8" t="inlineStr">
        <is>
          <t>Where one control draws on several provisions, the identifier uses the main provision and the others are listed in the column 'Other related provisions'.</t>
        </is>
      </c>
    </row>
    <row r="14" ht="44" customHeight="1">
      <c r="A14" s="8" t="inlineStr">
        <is>
          <t>Where one duty draws on several provisions, the column 'Provisions covered in this row' names every section, sub-section, Rule and Schedule that the row is responsible for. 'Other related provisions' lists only other rows to read alongside it.</t>
        </is>
      </c>
    </row>
    <row r="15" ht="44" customHeight="1">
      <c r="A15" s="8" t="inlineStr">
        <is>
          <t>A provision has its own row only if a company could meet it while failing the provisions next to it, and it needs a different owner or different evidence. Otherwise it is grouped and named in 'Provisions covered in this row'. For this reason each clause of Rule 6(1) has its own row.</t>
        </is>
      </c>
    </row>
    <row r="16" ht="30" customHeight="1">
      <c r="A16" s="8" t="inlineStr">
        <is>
          <t>The sheet 'Coverage' lists every section of the Act, every Rule and every Schedule, and shows the row that covers it or why it does not apply to companies.</t>
        </is>
      </c>
    </row>
    <row r="17" ht="30" customHeight="1">
      <c r="A17" s="8" t="inlineStr">
        <is>
          <t>The earlier working codes (for example LAW-01, SEC-01) are retired. The sheet 'Identifier Change Log' records every change, including those in version 3.</t>
        </is>
      </c>
    </row>
    <row r="18" ht="16" customHeight="1">
      <c r="A18" s="8" t="inlineStr"/>
    </row>
    <row r="19" ht="16" customHeight="1">
      <c r="A19" s="7" t="inlineStr">
        <is>
          <t>WHEN THE ACT APPLIES (SECTION 3)</t>
        </is>
      </c>
    </row>
    <row r="20" ht="44" customHeight="1">
      <c r="A20" s="8" t="inlineStr">
        <is>
          <t>The Act applies to digital personal data processed in India, and to processing outside India where it is connected with offering goods or services to people in India. It does not apply to data processed by an individual for personal or domestic purposes, or to data made publicly available by the person herself or under a legal obligation. Confirm that the Act applies before using this workbook.</t>
        </is>
      </c>
    </row>
    <row r="21" ht="16" customHeight="1">
      <c r="A21" s="8" t="inlineStr"/>
    </row>
    <row r="22" ht="16" customHeight="1">
      <c r="A22" s="7" t="inlineStr">
        <is>
          <t>HOW TO USE THIS WORKBOOK</t>
        </is>
      </c>
    </row>
    <row r="23" ht="44" customHeight="1">
      <c r="A23" s="8" t="inlineStr">
        <is>
          <t>1. 'Obligations Matrix' has one row per legal duty: the requirement in plain English, the provision, the matching ISO/IEC 27001:2022 Annex A reference, who it applies to, what triggers it, the time limit, the maximum penalty, and the actions for the governance team and for engineering.</t>
        </is>
      </c>
    </row>
    <row r="24" ht="30" customHeight="1">
      <c r="A24" s="8" t="inlineStr">
        <is>
          <t>2. The column 'Exact legal text' links to the sheet 'Legal Text', which reproduces the provision word for word from the Gazette.</t>
        </is>
      </c>
    </row>
    <row r="25" ht="30" customHeight="1">
      <c r="A25" s="8" t="inlineStr">
        <is>
          <t>3. Fill in only the yellow columns: Current status (choose from the list), Owner, Gap notes and Target date. Priority and the counts are calculated automatically.</t>
        </is>
      </c>
    </row>
    <row r="26" ht="30" customHeight="1">
      <c r="A26" s="8" t="inlineStr">
        <is>
          <t>4. 'Event Playbook' shows, for each event (a breach, a withdrawal of consent, an erasure request and so on), when the clock starts, the time limit and who does what.</t>
        </is>
      </c>
    </row>
    <row r="27" ht="30" customHeight="1">
      <c r="A27" s="8" t="inlineStr">
        <is>
          <t>5. 'Timeline' shows what is already in force and what is coming. 'Gap Summary' totals the status by area. 'Penalties' reproduces the penalty Schedule to the Act. 'Coverage' lists every provision and where it is covered.</t>
        </is>
      </c>
    </row>
    <row r="28" ht="16" customHeight="1">
      <c r="A28" s="8" t="inlineStr"/>
    </row>
    <row r="29" ht="16" customHeight="1">
      <c r="A29" s="7" t="inlineStr">
        <is>
          <t>STATUS VALUES</t>
        </is>
      </c>
    </row>
    <row r="30" ht="16" customHeight="1">
      <c r="A30" s="8" t="inlineStr">
        <is>
          <t>Not assessed (default) · Not started · Partially in place · In place · Not applicable to this organisation</t>
        </is>
      </c>
    </row>
    <row r="31" ht="16" customHeight="1">
      <c r="A31" s="8" t="inlineStr"/>
    </row>
    <row r="32" ht="16" customHeight="1">
      <c r="A32" s="7" t="inlineStr">
        <is>
          <t>RISK WEIGHT (USED TO SET PRIORITY)</t>
        </is>
      </c>
    </row>
    <row r="33" ht="30" customHeight="1">
      <c r="A33" s="8" t="inlineStr">
        <is>
          <t>3 = maximum penalty of ₹200 crore to ₹250 crore (security safeguards, breach notification, children), or a core duty that other duties depend on.</t>
        </is>
      </c>
    </row>
    <row r="34" ht="30" customHeight="1">
      <c r="A34" s="8" t="inlineStr">
        <is>
          <t>2 = maximum penalty of ₹150 crore (Significant Data Fiduciary duties), or an important operational duty under the ₹50 crore general penalty.</t>
        </is>
      </c>
    </row>
    <row r="35" ht="30" customHeight="1">
      <c r="A35" s="8" t="inlineStr">
        <is>
          <t>1 = a supporting or conditional duty. Priority 1, 2 or 3 follows the weight; it shows 'Closed' once the status is 'In place' or 'Not applicable to this organisation'.</t>
        </is>
      </c>
    </row>
    <row r="36" ht="16" customHeight="1">
      <c r="A36" s="8" t="inlineStr"/>
    </row>
    <row r="37" ht="16" customHeight="1">
      <c r="A37" s="7" t="inlineStr">
        <is>
          <t>EXAMPLE ENTRY</t>
        </is>
      </c>
    </row>
    <row r="38" ht="30" customHeight="1">
      <c r="A38" s="8" t="inlineStr">
        <is>
          <t>The row DPDP-Rule-6(1)(e) (one-year log retention) is filled in as an example. Replace it with the organisation's real answer.</t>
        </is>
      </c>
    </row>
    <row r="39" ht="16" customHeight="1">
      <c r="A39" s="8" t="inlineStr"/>
    </row>
    <row r="40" ht="16" customHeight="1">
      <c r="A40" s="7" t="inlineStr">
        <is>
          <t>IMPORTANT NOTES</t>
        </is>
      </c>
    </row>
    <row r="41" ht="30" customHeight="1">
      <c r="A41" s="8" t="inlineStr">
        <is>
          <t>ISO/IEC 27001:2022 references give the Annex A number with a description in our own words. They are not ISO's text. The mapping is the author's professional judgement, not an official mapping by ISO or the Ministry.</t>
        </is>
      </c>
    </row>
    <row r="42" ht="44" customHeight="1">
      <c r="A42" s="8" t="inlineStr">
        <is>
          <t>The dates on which individual sections of the Act come into force are taken from secondary sources describing the notification of 13 November 2025. The dates for the Rules come from Rule 1 itself. The scope of Rule 8(3) is under debate. Confirm these before advising a client.</t>
        </is>
      </c>
    </row>
  </sheetData>
  <mergeCells count="34">
    <mergeCell ref="A25:C25"/>
    <mergeCell ref="A41:C41"/>
    <mergeCell ref="A37:C37"/>
    <mergeCell ref="A18:C18"/>
    <mergeCell ref="A27:C27"/>
    <mergeCell ref="A21:C21"/>
    <mergeCell ref="A12:C12"/>
    <mergeCell ref="A26:C26"/>
    <mergeCell ref="A42:C42"/>
    <mergeCell ref="A33:C33"/>
    <mergeCell ref="A23:C23"/>
    <mergeCell ref="A32:C32"/>
    <mergeCell ref="A14:C14"/>
    <mergeCell ref="A22:C22"/>
    <mergeCell ref="A17:C17"/>
    <mergeCell ref="A29:C29"/>
    <mergeCell ref="A35:C35"/>
    <mergeCell ref="A20:C20"/>
    <mergeCell ref="A38:C38"/>
    <mergeCell ref="A10:C10"/>
    <mergeCell ref="A28:C28"/>
    <mergeCell ref="A13:C13"/>
    <mergeCell ref="A19:C19"/>
    <mergeCell ref="A31:C31"/>
    <mergeCell ref="A40:C40"/>
    <mergeCell ref="A9:C9"/>
    <mergeCell ref="A30:C30"/>
    <mergeCell ref="A39:C39"/>
    <mergeCell ref="A34:C34"/>
    <mergeCell ref="A15:C15"/>
    <mergeCell ref="A24:C24"/>
    <mergeCell ref="A36:C36"/>
    <mergeCell ref="A11:C11"/>
    <mergeCell ref="A16:C16"/>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0B1F4B"/>
    <outlinePr summaryBelow="1" summaryRight="1"/>
    <pageSetUpPr/>
  </sheetPr>
  <dimension ref="A1:W44"/>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20" customWidth="1" min="1" max="1"/>
    <col width="16" customWidth="1" min="2" max="2"/>
    <col width="46" customWidth="1" min="3" max="3"/>
    <col width="26" customWidth="1" min="4" max="4"/>
    <col width="30" customWidth="1" min="5" max="5"/>
    <col width="26" customWidth="1" min="6" max="6"/>
    <col width="14" customWidth="1" min="7" max="7"/>
    <col width="34" customWidth="1" min="8" max="8"/>
    <col width="22" customWidth="1" min="9" max="9"/>
    <col width="22" customWidth="1" min="10" max="10"/>
    <col width="22" customWidth="1" min="11" max="11"/>
    <col width="13" customWidth="1" min="12" max="12"/>
    <col width="22" customWidth="1" min="13" max="13"/>
    <col width="34" customWidth="1" min="14" max="14"/>
    <col width="34" customWidth="1" min="15" max="15"/>
    <col width="26" customWidth="1" min="16" max="16"/>
    <col width="9" customWidth="1" min="17" max="17"/>
    <col width="16" customWidth="1" min="18" max="18"/>
    <col width="18" customWidth="1" min="19" max="19"/>
    <col width="30" customWidth="1" min="20" max="20"/>
    <col width="13" customWidth="1" min="21" max="21"/>
    <col width="10" customWidth="1" min="22" max="22"/>
    <col width="10" customWidth="1" min="23" max="23"/>
  </cols>
  <sheetData>
    <row r="1">
      <c r="A1" s="1" t="inlineStr">
        <is>
          <t>Obligations Matrix</t>
        </is>
      </c>
    </row>
    <row r="2">
      <c r="A2" s="2" t="inlineStr">
        <is>
          <t>One row per legal duty. Fill in the yellow columns. Use the filters on 'Area' or 'Applies to'.</t>
        </is>
      </c>
    </row>
    <row r="4" ht="48" customHeight="1">
      <c r="A4" s="9" t="inlineStr">
        <is>
          <t>Control identifier</t>
        </is>
      </c>
      <c r="B4" s="9" t="inlineStr">
        <is>
          <t>Area</t>
        </is>
      </c>
      <c r="C4" s="9" t="inlineStr">
        <is>
          <t>Requirement in plain English</t>
        </is>
      </c>
      <c r="D4" s="9" t="inlineStr">
        <is>
          <t>Main legal provision</t>
        </is>
      </c>
      <c r="E4" s="9" t="inlineStr">
        <is>
          <t>Provisions covered in this row</t>
        </is>
      </c>
      <c r="F4" s="9" t="inlineStr">
        <is>
          <t>Other related provisions (other rows to read)</t>
        </is>
      </c>
      <c r="G4" s="9" t="inlineStr">
        <is>
          <t>Exact legal text</t>
        </is>
      </c>
      <c r="H4" s="9" t="inlineStr">
        <is>
          <t>ISO/IEC 27001:2022 Annex A reference (our own description)</t>
        </is>
      </c>
      <c r="I4" s="9" t="inlineStr">
        <is>
          <t>Applies to</t>
        </is>
      </c>
      <c r="J4" s="9" t="inlineStr">
        <is>
          <t>Trigger or event</t>
        </is>
      </c>
      <c r="K4" s="9" t="inlineStr">
        <is>
          <t>Time limit</t>
        </is>
      </c>
      <c r="L4" s="9" t="inlineStr">
        <is>
          <t>In force from</t>
        </is>
      </c>
      <c r="M4" s="9" t="inlineStr">
        <is>
          <t>Maximum penalty</t>
        </is>
      </c>
      <c r="N4" s="9" t="inlineStr">
        <is>
          <t>Action for the governance, risk and compliance team</t>
        </is>
      </c>
      <c r="O4" s="9" t="inlineStr">
        <is>
          <t>Action for engineering</t>
        </is>
      </c>
      <c r="P4" s="9" t="inlineStr">
        <is>
          <t>Evidence to keep</t>
        </is>
      </c>
      <c r="Q4" s="9" t="inlineStr">
        <is>
          <t>Risk weight (1 to 3)</t>
        </is>
      </c>
      <c r="R4" s="9" t="inlineStr">
        <is>
          <t>Current status</t>
        </is>
      </c>
      <c r="S4" s="9" t="inlineStr">
        <is>
          <t>Owner (full name and designation)</t>
        </is>
      </c>
      <c r="T4" s="9" t="inlineStr">
        <is>
          <t>Gap notes</t>
        </is>
      </c>
      <c r="U4" s="9" t="inlineStr">
        <is>
          <t>Target date</t>
        </is>
      </c>
      <c r="V4" s="9" t="inlineStr">
        <is>
          <t>Priority</t>
        </is>
      </c>
      <c r="W4" s="9" t="inlineStr">
        <is>
          <t>Days until in force</t>
        </is>
      </c>
    </row>
    <row r="5" ht="120" customHeight="1">
      <c r="A5" s="4" t="inlineStr">
        <is>
          <t>DPDP-Act-S4</t>
        </is>
      </c>
      <c r="B5" s="10" t="inlineStr">
        <is>
          <t>Lawful basis</t>
        </is>
      </c>
      <c r="C5" s="10" t="inlineStr">
        <is>
          <t>Personal data may be processed only for a lawful purpose, and only with the person's consent or for one of the 'certain legitimate uses' listed in Section 7.</t>
        </is>
      </c>
      <c r="D5" s="10" t="inlineStr">
        <is>
          <t>Digital Personal Data Protection Act, 2023, Section 4</t>
        </is>
      </c>
      <c r="E5" s="10" t="inlineStr">
        <is>
          <t>Act s.4(1), s.4(2)</t>
        </is>
      </c>
      <c r="F5" s="10" t="inlineStr">
        <is>
          <t>DPDP-Act-S6(1); DPDP-Act-S7</t>
        </is>
      </c>
      <c r="G5" s="11">
        <f>HYPERLINK("#'Legal Text'!A5","Read the exact text")</f>
        <v/>
      </c>
      <c r="H5" s="10" t="inlineStr">
        <is>
          <t>Annex A 5.31 (legal and regulatory requirements identified and kept up to date); Annex A 5.34 (privacy and protection of personal information)</t>
        </is>
      </c>
      <c r="I5" s="10" t="inlineStr">
        <is>
          <t>All Data Fiduciaries</t>
        </is>
      </c>
      <c r="J5" s="10" t="inlineStr">
        <is>
          <t>Any processing of digital personal data</t>
        </is>
      </c>
      <c r="K5" s="10" t="inlineStr">
        <is>
          <t>Before processing starts</t>
        </is>
      </c>
      <c r="L5" s="5" t="n">
        <v>46520</v>
      </c>
      <c r="M5" s="10" t="inlineStr">
        <is>
          <t>Up to ₹50 crore (Schedule to the Act, item 7: breach of any other provision)</t>
        </is>
      </c>
      <c r="N5" s="10" t="inlineStr">
        <is>
          <t>Maintain a register of processing activities. For each activity, record whether it relies on consent or on a named clause of Section 7.</t>
        </is>
      </c>
      <c r="O5" s="10" t="inlineStr">
        <is>
          <t>Label every data flow and data store with its purpose and its legal basis. Block new data flows that have no recorded basis.</t>
        </is>
      </c>
      <c r="P5" s="10" t="inlineStr">
        <is>
          <t>Approved register of processing activities; inventory of data flows with their labels.</t>
        </is>
      </c>
      <c r="Q5" s="12" t="n">
        <v>3</v>
      </c>
      <c r="R5" s="13" t="inlineStr">
        <is>
          <t>Not assessed</t>
        </is>
      </c>
      <c r="S5" s="13" t="n"/>
      <c r="T5" s="13" t="n"/>
      <c r="U5" s="14" t="n"/>
      <c r="V5" s="15">
        <f>IF(OR(R5="In place",R5="Not applicable to this organisation"),"Closed",IF(Q5=3,"Priority 1",IF(Q5=2,"Priority 2","Priority 3")))</f>
        <v/>
      </c>
      <c r="W5" s="16">
        <f>IF(L5="","",MAX(0,L5-TODAY()))</f>
        <v/>
      </c>
    </row>
    <row r="6" ht="120" customHeight="1">
      <c r="A6" s="4" t="inlineStr">
        <is>
          <t>DPDP-Act-S7</t>
        </is>
      </c>
      <c r="B6" s="10" t="inlineStr">
        <is>
          <t>Lawful basis</t>
        </is>
      </c>
      <c r="C6" s="10" t="inlineStr">
        <is>
          <t>Processing without consent is allowed only for the uses listed in Section 7, for example data the person gave voluntarily for a stated purpose, legal obligations, court orders, medical emergencies, disasters, and employment purposes.</t>
        </is>
      </c>
      <c r="D6" s="10" t="inlineStr">
        <is>
          <t>Digital Personal Data Protection Act, 2023, Section 7</t>
        </is>
      </c>
      <c r="E6" s="10" t="inlineStr">
        <is>
          <t>Act s.7(a) to s.7(i)</t>
        </is>
      </c>
      <c r="F6" s="10" t="inlineStr">
        <is>
          <t>DPDP-Act-S4</t>
        </is>
      </c>
      <c r="G6" s="11">
        <f>HYPERLINK("#'Legal Text'!A6","Read the exact text")</f>
        <v/>
      </c>
      <c r="H6" s="10" t="inlineStr">
        <is>
          <t>Annex A 5.31 (legal and regulatory requirements); Annex A 5.34 (privacy and protection of personal information)</t>
        </is>
      </c>
      <c r="I6" s="10" t="inlineStr">
        <is>
          <t>All Data Fiduciaries</t>
        </is>
      </c>
      <c r="J6" s="10" t="inlineStr">
        <is>
          <t>Relying on a ground other than consent</t>
        </is>
      </c>
      <c r="K6" s="10" t="inlineStr">
        <is>
          <t>Before processing starts</t>
        </is>
      </c>
      <c r="L6" s="5" t="n">
        <v>46520</v>
      </c>
      <c r="M6" s="10" t="inlineStr">
        <is>
          <t>Up to ₹50 crore (Schedule to the Act, item 7: breach of any other provision)</t>
        </is>
      </c>
      <c r="N6" s="10" t="inlineStr">
        <is>
          <t>Write a short justification for each processing activity that relies on Section 7, naming the clause. Review the justifications every year.</t>
        </is>
      </c>
      <c r="O6" s="10" t="inlineStr">
        <is>
          <t>Record the Section 7 clause in the same labels used for the purpose and legal basis.</t>
        </is>
      </c>
      <c r="P6" s="10" t="inlineStr">
        <is>
          <t>One justification note per processing activity.</t>
        </is>
      </c>
      <c r="Q6" s="12" t="n">
        <v>2</v>
      </c>
      <c r="R6" s="13" t="inlineStr">
        <is>
          <t>Not assessed</t>
        </is>
      </c>
      <c r="S6" s="13" t="n"/>
      <c r="T6" s="13" t="n"/>
      <c r="U6" s="14" t="n"/>
      <c r="V6" s="15">
        <f>IF(OR(R6="In place",R6="Not applicable to this organisation"),"Closed",IF(Q6=3,"Priority 1",IF(Q6=2,"Priority 2","Priority 3")))</f>
        <v/>
      </c>
      <c r="W6" s="16">
        <f>IF(L6="","",MAX(0,L6-TODAY()))</f>
        <v/>
      </c>
    </row>
    <row r="7" ht="120" customHeight="1">
      <c r="A7" s="4" t="inlineStr">
        <is>
          <t>DPDP-Act-S5(1)</t>
        </is>
      </c>
      <c r="B7" s="10" t="inlineStr">
        <is>
          <t>Notice</t>
        </is>
      </c>
      <c r="C7" s="10" t="inlineStr">
        <is>
          <t>Every request for consent must come with, or after, a notice that lists the personal data, the purpose, the goods or services it enables, and how to withdraw consent, exercise rights and complain to the Data Protection Board. The notice must stand on its own and be in clear, plain language, in English or a language in the Eighth Schedule to the Constitution.</t>
        </is>
      </c>
      <c r="D7" s="10" t="inlineStr">
        <is>
          <t>Digital Personal Data Protection Act, 2023, Section 5(1)</t>
        </is>
      </c>
      <c r="E7" s="10" t="inlineStr">
        <is>
          <t>Act s.5(1), s.5(3), s.6(3); Rules 3(a), 3(b), 3(c)</t>
        </is>
      </c>
      <c r="F7" s="10" t="inlineStr">
        <is>
          <t>DPDP-Act-S6(4) (withdrawal route in the notice, Rule 3(c)(i))</t>
        </is>
      </c>
      <c r="G7" s="11">
        <f>HYPERLINK("#'Legal Text'!A7","Read the exact text")</f>
        <v/>
      </c>
      <c r="H7" s="10" t="inlineStr">
        <is>
          <t>Annex A 5.34 (privacy and protection of personal information)</t>
        </is>
      </c>
      <c r="I7" s="10" t="inlineStr">
        <is>
          <t>All Data Fiduciaries</t>
        </is>
      </c>
      <c r="J7" s="10" t="inlineStr">
        <is>
          <t>Every request for consent</t>
        </is>
      </c>
      <c r="K7" s="10" t="inlineStr">
        <is>
          <t>With or before the request</t>
        </is>
      </c>
      <c r="L7" s="5" t="n">
        <v>46520</v>
      </c>
      <c r="M7" s="10" t="inlineStr">
        <is>
          <t>Up to ₹50 crore (Schedule to the Act, item 7: breach of any other provision)</t>
        </is>
      </c>
      <c r="N7" s="10" t="inlineStr">
        <is>
          <t>Have legal approve the notice text and each language version. Keep every version under version control.</t>
        </is>
      </c>
      <c r="O7" s="10" t="inlineStr">
        <is>
          <t>Show the notice before the consent screen. Record which notice version each person saw.</t>
        </is>
      </c>
      <c r="P7" s="10" t="inlineStr">
        <is>
          <t>All notice versions; screenshots of each consent journey; record of the notice version shown to each person.</t>
        </is>
      </c>
      <c r="Q7" s="12" t="n">
        <v>3</v>
      </c>
      <c r="R7" s="13" t="inlineStr">
        <is>
          <t>Not assessed</t>
        </is>
      </c>
      <c r="S7" s="13" t="n"/>
      <c r="T7" s="13" t="n"/>
      <c r="U7" s="14" t="n"/>
      <c r="V7" s="15">
        <f>IF(OR(R7="In place",R7="Not applicable to this organisation"),"Closed",IF(Q7=3,"Priority 1",IF(Q7=2,"Priority 2","Priority 3")))</f>
        <v/>
      </c>
      <c r="W7" s="16">
        <f>IF(L7="","",MAX(0,L7-TODAY()))</f>
        <v/>
      </c>
    </row>
    <row r="8" ht="120" customHeight="1">
      <c r="A8" s="4" t="inlineStr">
        <is>
          <t>DPDP-Act-S5(2)</t>
        </is>
      </c>
      <c r="B8" s="10" t="inlineStr">
        <is>
          <t>Notice</t>
        </is>
      </c>
      <c r="C8" s="10" t="inlineStr">
        <is>
          <t>Where consent was given before the Act came into force, send each person a notice describing the data, the purpose and their rights as soon as reasonably practicable. Processing may continue until the person withdraws consent.</t>
        </is>
      </c>
      <c r="D8" s="10" t="inlineStr">
        <is>
          <t>Digital Personal Data Protection Act, 2023, Section 5(2)</t>
        </is>
      </c>
      <c r="E8" s="10" t="inlineStr">
        <is>
          <t>Act s.5(2)(a), s.5(2)(b)</t>
        </is>
      </c>
      <c r="F8" s="10" t="inlineStr">
        <is>
          <t>DPDP-Act-S5(1)</t>
        </is>
      </c>
      <c r="G8" s="11">
        <f>HYPERLINK("#'Legal Text'!A9","Read the exact text")</f>
        <v/>
      </c>
      <c r="H8" s="10" t="inlineStr">
        <is>
          <t>Annex A 5.34 (privacy and protection of personal information)</t>
        </is>
      </c>
      <c r="I8" s="10" t="inlineStr">
        <is>
          <t>All Data Fiduciaries holding consent given before commencement</t>
        </is>
      </c>
      <c r="J8" s="10" t="inlineStr">
        <is>
          <t>Commencement of the Act's obligations</t>
        </is>
      </c>
      <c r="K8" s="10" t="inlineStr">
        <is>
          <t>As soon as reasonably practicable</t>
        </is>
      </c>
      <c r="L8" s="5" t="n">
        <v>46520</v>
      </c>
      <c r="M8" s="10" t="inlineStr">
        <is>
          <t>Up to ₹50 crore (Schedule to the Act, item 7: breach of any other provision)</t>
        </is>
      </c>
      <c r="N8" s="10" t="inlineStr">
        <is>
          <t>Identify the people covered and fix the date of the notice campaign.</t>
        </is>
      </c>
      <c r="O8" s="10" t="inlineStr">
        <is>
          <t>Send the notice by email or in the app; record delivery and failed deliveries.</t>
        </is>
      </c>
      <c r="P8" s="10" t="inlineStr">
        <is>
          <t>Campaign record; delivery logs.</t>
        </is>
      </c>
      <c r="Q8" s="12" t="n">
        <v>2</v>
      </c>
      <c r="R8" s="13" t="inlineStr">
        <is>
          <t>Not assessed</t>
        </is>
      </c>
      <c r="S8" s="13" t="n"/>
      <c r="T8" s="13" t="n"/>
      <c r="U8" s="14" t="n"/>
      <c r="V8" s="15">
        <f>IF(OR(R8="In place",R8="Not applicable to this organisation"),"Closed",IF(Q8=3,"Priority 1",IF(Q8=2,"Priority 2","Priority 3")))</f>
        <v/>
      </c>
      <c r="W8" s="16">
        <f>IF(L8="","",MAX(0,L8-TODAY()))</f>
        <v/>
      </c>
    </row>
    <row r="9" ht="120" customHeight="1">
      <c r="A9" s="4" t="inlineStr">
        <is>
          <t>DPDP-Act-S6(1)</t>
        </is>
      </c>
      <c r="B9" s="10" t="inlineStr">
        <is>
          <t>Consent</t>
        </is>
      </c>
      <c r="C9" s="10" t="inlineStr">
        <is>
          <t>Consent must be free, specific, informed, unconditional and unambiguous, given by a clear positive action, and limited to the data needed for the stated purpose. Any part of a consent that breaks the law is invalid to that extent.</t>
        </is>
      </c>
      <c r="D9" s="10" t="inlineStr">
        <is>
          <t>Digital Personal Data Protection Act, 2023, Section 6(1)</t>
        </is>
      </c>
      <c r="E9" s="10" t="inlineStr">
        <is>
          <t>Act s.6(1), s.6(2)</t>
        </is>
      </c>
      <c r="F9" s="10" t="inlineStr">
        <is>
          <t>DPDP-Act-S5(1) (s.6(3), request in plain language)</t>
        </is>
      </c>
      <c r="G9" s="11">
        <f>HYPERLINK("#'Legal Text'!A10","Read the exact text")</f>
        <v/>
      </c>
      <c r="H9" s="10" t="inlineStr">
        <is>
          <t>Annex A 5.34 (privacy and protection of personal information)</t>
        </is>
      </c>
      <c r="I9" s="10" t="inlineStr">
        <is>
          <t>All Data Fiduciaries</t>
        </is>
      </c>
      <c r="J9" s="10" t="inlineStr">
        <is>
          <t>Every request for consent</t>
        </is>
      </c>
      <c r="K9" s="10" t="inlineStr">
        <is>
          <t>At the time of collection</t>
        </is>
      </c>
      <c r="L9" s="5" t="n">
        <v>46520</v>
      </c>
      <c r="M9" s="10" t="inlineStr">
        <is>
          <t>Up to ₹50 crore (Schedule to the Act, item 7: breach of any other provision)</t>
        </is>
      </c>
      <c r="N9" s="10" t="inlineStr">
        <is>
          <t>Review every consent journey for bundled consents and for data that is not needed.</t>
        </is>
      </c>
      <c r="O9" s="10" t="inlineStr">
        <is>
          <t>No pre-ticked boxes. A separate choice for each purpose. Collect only the fields mapped to a purpose.</t>
        </is>
      </c>
      <c r="P9" s="10" t="inlineStr">
        <is>
          <t>Review report of consent screens; inventory of consent screens.</t>
        </is>
      </c>
      <c r="Q9" s="12" t="n">
        <v>3</v>
      </c>
      <c r="R9" s="13" t="inlineStr">
        <is>
          <t>Not assessed</t>
        </is>
      </c>
      <c r="S9" s="13" t="n"/>
      <c r="T9" s="13" t="n"/>
      <c r="U9" s="14" t="n"/>
      <c r="V9" s="15">
        <f>IF(OR(R9="In place",R9="Not applicable to this organisation"),"Closed",IF(Q9=3,"Priority 1",IF(Q9=2,"Priority 2","Priority 3")))</f>
        <v/>
      </c>
      <c r="W9" s="16">
        <f>IF(L9="","",MAX(0,L9-TODAY()))</f>
        <v/>
      </c>
    </row>
    <row r="10" ht="120" customHeight="1">
      <c r="A10" s="4" t="inlineStr">
        <is>
          <t>DPDP-Act-S6(4)</t>
        </is>
      </c>
      <c r="B10" s="10" t="inlineStr">
        <is>
          <t>Consent</t>
        </is>
      </c>
      <c r="C10" s="10" t="inlineStr">
        <is>
          <t>Withdrawing consent must be as easy as giving it. After withdrawal, the Data Fiduciary must stop processing within a reasonable time and make its Data Processors stop, unless the law requires or authorises the processing.</t>
        </is>
      </c>
      <c r="D10" s="10" t="inlineStr">
        <is>
          <t>Digital Personal Data Protection Act, 2023, Section 6(4)</t>
        </is>
      </c>
      <c r="E10" s="10" t="inlineStr">
        <is>
          <t>Act s.6(4), s.6(5), s.6(6)</t>
        </is>
      </c>
      <c r="F10" s="10" t="inlineStr">
        <is>
          <t>DPDP-Act-S5(1); DPDP-Act-S8(7)</t>
        </is>
      </c>
      <c r="G10" s="11">
        <f>HYPERLINK("#'Legal Text'!A11","Read the exact text")</f>
        <v/>
      </c>
      <c r="H10" s="10" t="inlineStr">
        <is>
          <t>Annex A 5.34 (privacy and protection of personal information)</t>
        </is>
      </c>
      <c r="I10" s="10" t="inlineStr">
        <is>
          <t>All Data Fiduciaries</t>
        </is>
      </c>
      <c r="J10" s="10" t="inlineStr">
        <is>
          <t>Consent is withdrawn</t>
        </is>
      </c>
      <c r="K10" s="10" t="inlineStr">
        <is>
          <t>Within a reasonable time (the Act does not set a number of days)</t>
        </is>
      </c>
      <c r="L10" s="5" t="n">
        <v>46520</v>
      </c>
      <c r="M10" s="10" t="inlineStr">
        <is>
          <t>Up to ₹50 crore (Schedule to the Act, item 7: breach of any other provision)</t>
        </is>
      </c>
      <c r="N10" s="10" t="inlineStr">
        <is>
          <t>Set an internal time limit for 'a reasonable time'. Include every Data Processor in the procedure.</t>
        </is>
      </c>
      <c r="O10" s="10" t="inlineStr">
        <is>
          <t>One-step withdrawal. The withdrawal is sent automatically to every system and every Data Processor, and each confirmation is recorded.</t>
        </is>
      </c>
      <c r="P10" s="10" t="inlineStr">
        <is>
          <t>Report of withdrawals against the internal time limit; confirmations from Data Processors.</t>
        </is>
      </c>
      <c r="Q10" s="12" t="n">
        <v>3</v>
      </c>
      <c r="R10" s="13" t="inlineStr">
        <is>
          <t>Not assessed</t>
        </is>
      </c>
      <c r="S10" s="13" t="n"/>
      <c r="T10" s="13" t="n"/>
      <c r="U10" s="14" t="n"/>
      <c r="V10" s="15">
        <f>IF(OR(R10="In place",R10="Not applicable to this organisation"),"Closed",IF(Q10=3,"Priority 1",IF(Q10=2,"Priority 2","Priority 3")))</f>
        <v/>
      </c>
      <c r="W10" s="16">
        <f>IF(L10="","",MAX(0,L10-TODAY()))</f>
        <v/>
      </c>
    </row>
    <row r="11" ht="120" customHeight="1">
      <c r="A11" s="4" t="inlineStr">
        <is>
          <t>DPDP-Act-S6(10)</t>
        </is>
      </c>
      <c r="B11" s="10" t="inlineStr">
        <is>
          <t>Consent</t>
        </is>
      </c>
      <c r="C11" s="10" t="inlineStr">
        <is>
          <t>If a question arises in a proceeding, the Data Fiduciary must be able to prove that the notice was given and that consent was obtained in line with the Act and the Rules.</t>
        </is>
      </c>
      <c r="D11" s="10" t="inlineStr">
        <is>
          <t>Digital Personal Data Protection Act, 2023, Section 6(10)</t>
        </is>
      </c>
      <c r="E11" s="10" t="inlineStr">
        <is>
          <t>Act s.6(10)</t>
        </is>
      </c>
      <c r="F11" s="10" t="inlineStr">
        <is>
          <t>DPDP-Act-S5(1)</t>
        </is>
      </c>
      <c r="G11" s="11">
        <f>HYPERLINK("#'Legal Text'!A12","Read the exact text")</f>
        <v/>
      </c>
      <c r="H11" s="10" t="inlineStr">
        <is>
          <t>Annex A 5.33 (protection of records); Annex A 5.34 (privacy and protection of personal information)</t>
        </is>
      </c>
      <c r="I11" s="10" t="inlineStr">
        <is>
          <t>All Data Fiduciaries</t>
        </is>
      </c>
      <c r="J11" s="10" t="inlineStr">
        <is>
          <t>A dispute or a proceeding before the Data Protection Board</t>
        </is>
      </c>
      <c r="K11" s="10" t="inlineStr">
        <is>
          <t>When asked</t>
        </is>
      </c>
      <c r="L11" s="5" t="n">
        <v>46520</v>
      </c>
      <c r="M11" s="10" t="inlineStr">
        <is>
          <t>Up to ₹50 crore (Schedule to the Act, item 7: breach of any other provision)</t>
        </is>
      </c>
      <c r="N11" s="10" t="inlineStr">
        <is>
          <t>Define what counts as proof of consent and how long consent records are kept.</t>
        </is>
      </c>
      <c r="O11" s="10" t="inlineStr">
        <is>
          <t>A tamper-evident consent record: who consented, to what, when, through which channel, and the notice version shown.</t>
        </is>
      </c>
      <c r="P11" s="10" t="inlineStr">
        <is>
          <t>Sample consent records retrieved by customer identifier.</t>
        </is>
      </c>
      <c r="Q11" s="12" t="n">
        <v>3</v>
      </c>
      <c r="R11" s="13" t="inlineStr">
        <is>
          <t>Not assessed</t>
        </is>
      </c>
      <c r="S11" s="13" t="n"/>
      <c r="T11" s="13" t="n"/>
      <c r="U11" s="14" t="n"/>
      <c r="V11" s="15">
        <f>IF(OR(R11="In place",R11="Not applicable to this organisation"),"Closed",IF(Q11=3,"Priority 1",IF(Q11=2,"Priority 2","Priority 3")))</f>
        <v/>
      </c>
      <c r="W11" s="16">
        <f>IF(L11="","",MAX(0,L11-TODAY()))</f>
        <v/>
      </c>
    </row>
    <row r="12" ht="120" customHeight="1">
      <c r="A12" s="4" t="inlineStr">
        <is>
          <t>DPDP-Rule-4(1)</t>
        </is>
      </c>
      <c r="B12" s="10" t="inlineStr">
        <is>
          <t>Consent</t>
        </is>
      </c>
      <c r="C12" s="10" t="inlineStr">
        <is>
          <t>Consent Managers must be companies incorporated in India and registered with the Data Protection Board. A Data Fiduciary may allow people to give, review and withdraw consent through a registered Consent Manager.</t>
        </is>
      </c>
      <c r="D12" s="10" t="inlineStr">
        <is>
          <t>Digital Personal Data Protection Rules, 2025, Rule 4(1)</t>
        </is>
      </c>
      <c r="E12" s="10" t="inlineStr">
        <is>
          <t>Act s.6(7), s.6(8), s.6(9); Rules 4(1) to 4(6); First Schedule, Parts A and B</t>
        </is>
      </c>
      <c r="F12" s="10" t="inlineStr">
        <is>
          <t>DPDP-Act-S6(4)</t>
        </is>
      </c>
      <c r="G12" s="11">
        <f>HYPERLINK("#'Legal Text'!A13","Read the exact text")</f>
        <v/>
      </c>
      <c r="H12" s="10" t="inlineStr">
        <is>
          <t>Annex A 5.19 and 5.20 (managing suppliers and agreeing security requirements with them); Annex A 5.34 (privacy and protection of personal information)</t>
        </is>
      </c>
      <c r="I12" s="10" t="inlineStr">
        <is>
          <t>Consent Managers; Data Fiduciaries that choose to use one</t>
        </is>
      </c>
      <c r="J12" s="10" t="inlineStr">
        <is>
          <t>Decision to use a Consent Manager</t>
        </is>
      </c>
      <c r="K12" s="10" t="inlineStr">
        <is>
          <t>Registration opens when Rule 4 comes into force</t>
        </is>
      </c>
      <c r="L12" s="5" t="n">
        <v>46339</v>
      </c>
      <c r="M12" s="10" t="inlineStr">
        <is>
          <t>Up to ₹50 crore (Schedule to the Act, item 7: breach of any other provision)</t>
        </is>
      </c>
      <c r="N12" s="10" t="inlineStr">
        <is>
          <t>Decide whether to use a Consent Manager. Confirm the chosen provider's registration with the Board.</t>
        </is>
      </c>
      <c r="O12" s="10" t="inlineStr">
        <is>
          <t>Integrate with the Consent Manager's interface and use its consent records when deciding what processing is allowed.</t>
        </is>
      </c>
      <c r="P12" s="10" t="inlineStr">
        <is>
          <t>Decision note; integration test records.</t>
        </is>
      </c>
      <c r="Q12" s="12" t="n">
        <v>1</v>
      </c>
      <c r="R12" s="13" t="inlineStr">
        <is>
          <t>Not assessed</t>
        </is>
      </c>
      <c r="S12" s="13" t="n"/>
      <c r="T12" s="13" t="n"/>
      <c r="U12" s="14" t="n"/>
      <c r="V12" s="15">
        <f>IF(OR(R12="In place",R12="Not applicable to this organisation"),"Closed",IF(Q12=3,"Priority 1",IF(Q12=2,"Priority 2","Priority 3")))</f>
        <v/>
      </c>
      <c r="W12" s="16">
        <f>IF(L12="","",MAX(0,L12-TODAY()))</f>
        <v/>
      </c>
    </row>
    <row r="13" ht="120" customHeight="1">
      <c r="A13" s="4" t="inlineStr">
        <is>
          <t>DPDP-Act-S8(1)</t>
        </is>
      </c>
      <c r="B13" s="10" t="inlineStr">
        <is>
          <t>Accountability</t>
        </is>
      </c>
      <c r="C13" s="10" t="inlineStr">
        <is>
          <t>The Data Fiduciary remains responsible for compliance even for processing done on its behalf by Data Processors. It may use a Data Processor only under a valid contract.</t>
        </is>
      </c>
      <c r="D13" s="10" t="inlineStr">
        <is>
          <t>Digital Personal Data Protection Act, 2023, Section 8(1)</t>
        </is>
      </c>
      <c r="E13" s="10" t="inlineStr">
        <is>
          <t>Act s.8(1), s.8(2)</t>
        </is>
      </c>
      <c r="F13" s="10" t="inlineStr">
        <is>
          <t>DPDP-Rule-6(1)(f) (security terms in processor contracts)</t>
        </is>
      </c>
      <c r="G13" s="11">
        <f>HYPERLINK("#'Legal Text'!A15","Read the exact text")</f>
        <v/>
      </c>
      <c r="H13" s="10" t="inlineStr">
        <is>
          <t>Annex A 5.19 to 5.23 (supplier relationships, supplier agreements, the technology supply chain, monitoring of suppliers, and use of cloud services)</t>
        </is>
      </c>
      <c r="I13" s="10" t="inlineStr">
        <is>
          <t>All Data Fiduciaries</t>
        </is>
      </c>
      <c r="J13" s="10" t="inlineStr">
        <is>
          <t>Engaging a Data Processor</t>
        </is>
      </c>
      <c r="K13" s="10" t="inlineStr">
        <is>
          <t>Before the engagement starts</t>
        </is>
      </c>
      <c r="L13" s="5" t="n">
        <v>46520</v>
      </c>
      <c r="M13" s="10" t="inlineStr">
        <is>
          <t>Up to ₹50 crore (Schedule to the Act, item 7: breach of any other provision)</t>
        </is>
      </c>
      <c r="N13" s="10" t="inlineStr">
        <is>
          <t>Keep a register of every vendor that receives personal data. Use standard contract clauses covering security, erasure and breach notification.</t>
        </is>
      </c>
      <c r="O13" s="10" t="inlineStr">
        <is>
          <t>Inventory of every vendor receiving personal data, including software-as-a-service tools.</t>
        </is>
      </c>
      <c r="P13" s="10" t="inlineStr">
        <is>
          <t>Signed contracts; vendor register.</t>
        </is>
      </c>
      <c r="Q13" s="12" t="n">
        <v>3</v>
      </c>
      <c r="R13" s="13" t="inlineStr">
        <is>
          <t>Not assessed</t>
        </is>
      </c>
      <c r="S13" s="13" t="n"/>
      <c r="T13" s="13" t="n"/>
      <c r="U13" s="14" t="n"/>
      <c r="V13" s="15">
        <f>IF(OR(R13="In place",R13="Not applicable to this organisation"),"Closed",IF(Q13=3,"Priority 1",IF(Q13=2,"Priority 2","Priority 3")))</f>
        <v/>
      </c>
      <c r="W13" s="16">
        <f>IF(L13="","",MAX(0,L13-TODAY()))</f>
        <v/>
      </c>
    </row>
    <row r="14" ht="120" customHeight="1">
      <c r="A14" s="4" t="inlineStr">
        <is>
          <t>DPDP-Act-S8(3)</t>
        </is>
      </c>
      <c r="B14" s="10" t="inlineStr">
        <is>
          <t>Accountability</t>
        </is>
      </c>
      <c r="C14" s="10" t="inlineStr">
        <is>
          <t>Where personal data is likely to be used for a decision about the person, or disclosed to another Data Fiduciary, it must be complete, accurate and consistent.</t>
        </is>
      </c>
      <c r="D14" s="10" t="inlineStr">
        <is>
          <t>Digital Personal Data Protection Act, 2023, Section 8(3)</t>
        </is>
      </c>
      <c r="E14" s="10" t="inlineStr">
        <is>
          <t>Act s.8(3)(a), s.8(3)(b)</t>
        </is>
      </c>
      <c r="F14" s="10" t="inlineStr">
        <is>
          <t>None</t>
        </is>
      </c>
      <c r="G14" s="11">
        <f>HYPERLINK("#'Legal Text'!A16","Read the exact text")</f>
        <v/>
      </c>
      <c r="H14" s="10" t="inlineStr">
        <is>
          <t>Annex A 5.34 (privacy and protection of personal information)</t>
        </is>
      </c>
      <c r="I14" s="10" t="inlineStr">
        <is>
          <t>All Data Fiduciaries</t>
        </is>
      </c>
      <c r="J14" s="10" t="inlineStr">
        <is>
          <t>Decisions about a person, or disclosure to another Data Fiduciary</t>
        </is>
      </c>
      <c r="K14" s="10" t="inlineStr">
        <is>
          <t>Ongoing</t>
        </is>
      </c>
      <c r="L14" s="5" t="n">
        <v>46520</v>
      </c>
      <c r="M14" s="10" t="inlineStr">
        <is>
          <t>Up to ₹50 crore (Schedule to the Act, item 7: breach of any other provision)</t>
        </is>
      </c>
      <c r="N14" s="10" t="inlineStr">
        <is>
          <t>Identify processing used for decisions; assign an owner for data quality.</t>
        </is>
      </c>
      <c r="O14" s="10" t="inlineStr">
        <is>
          <t>Validation rules; corrections applied to every copy of the record.</t>
        </is>
      </c>
      <c r="P14" s="10" t="inlineStr">
        <is>
          <t>Data-quality check results; correction logs.</t>
        </is>
      </c>
      <c r="Q14" s="12" t="n">
        <v>1</v>
      </c>
      <c r="R14" s="13" t="inlineStr">
        <is>
          <t>Not assessed</t>
        </is>
      </c>
      <c r="S14" s="13" t="n"/>
      <c r="T14" s="13" t="n"/>
      <c r="U14" s="14" t="n"/>
      <c r="V14" s="15">
        <f>IF(OR(R14="In place",R14="Not applicable to this organisation"),"Closed",IF(Q14=3,"Priority 1",IF(Q14=2,"Priority 2","Priority 3")))</f>
        <v/>
      </c>
      <c r="W14" s="16">
        <f>IF(L14="","",MAX(0,L14-TODAY()))</f>
        <v/>
      </c>
    </row>
    <row r="15" ht="120" customHeight="1">
      <c r="A15" s="4" t="inlineStr">
        <is>
          <t>DPDP-Act-S38</t>
        </is>
      </c>
      <c r="B15" s="10" t="inlineStr">
        <is>
          <t>Accountability</t>
        </is>
      </c>
      <c r="C15" s="10" t="inlineStr">
        <is>
          <t>The Act applies in addition to other laws. Where it conflicts with another law, the Act prevails to the extent of the conflict.</t>
        </is>
      </c>
      <c r="D15" s="10" t="inlineStr">
        <is>
          <t>Digital Personal Data Protection Act, 2023, Section 38</t>
        </is>
      </c>
      <c r="E15" s="10" t="inlineStr">
        <is>
          <t>Act s.38(1), s.38(2)</t>
        </is>
      </c>
      <c r="F15" s="10" t="inlineStr">
        <is>
          <t>DPDP-Act-S8(7); DPDP-Rule-8(3); DPDP-Act-S16</t>
        </is>
      </c>
      <c r="G15" s="11">
        <f>HYPERLINK("#'Legal Text'!A17","Read the exact text")</f>
        <v/>
      </c>
      <c r="H15" s="10" t="inlineStr">
        <is>
          <t>Annex A 5.31 (legal, statutory, regulatory and contractual requirements)</t>
        </is>
      </c>
      <c r="I15" s="10" t="inlineStr">
        <is>
          <t>All Data Fiduciaries</t>
        </is>
      </c>
      <c r="J15" s="10" t="inlineStr">
        <is>
          <t>A DPDP duty differs from a sector rule (for example RBI retention or storage rules)</t>
        </is>
      </c>
      <c r="K15" s="10" t="inlineStr">
        <is>
          <t>Before the affected processing. Commencement date of s.38 to be confirmed from the notification</t>
        </is>
      </c>
      <c r="L15" s="5" t="n"/>
      <c r="M15" s="10" t="inlineStr">
        <is>
          <t>No separate penalty</t>
        </is>
      </c>
      <c r="N15" s="10" t="inlineStr">
        <is>
          <t>Keep a register of conflicts between DPDP and sector rules, with the decision taken and the legal reasoning for each.</t>
        </is>
      </c>
      <c r="O15" s="10" t="inlineStr">
        <is>
          <t>Apply each recorded decision through configuration (for example a retention period), not by changing code.</t>
        </is>
      </c>
      <c r="P15" s="10" t="inlineStr">
        <is>
          <t>Conflict register with decisions and approvals.</t>
        </is>
      </c>
      <c r="Q15" s="12" t="n">
        <v>2</v>
      </c>
      <c r="R15" s="13" t="inlineStr">
        <is>
          <t>Not assessed</t>
        </is>
      </c>
      <c r="S15" s="13" t="n"/>
      <c r="T15" s="13" t="n"/>
      <c r="U15" s="14" t="n"/>
      <c r="V15" s="15">
        <f>IF(OR(R15="In place",R15="Not applicable to this organisation"),"Closed",IF(Q15=3,"Priority 1",IF(Q15=2,"Priority 2","Priority 3")))</f>
        <v/>
      </c>
      <c r="W15" s="16">
        <f>IF(L15="","",MAX(0,L15-TODAY()))</f>
        <v/>
      </c>
    </row>
    <row r="16" ht="120" customHeight="1">
      <c r="A16" s="4" t="inlineStr">
        <is>
          <t>DPDP-Act-S44(2)</t>
        </is>
      </c>
      <c r="B16" s="10" t="inlineStr">
        <is>
          <t>Accountability</t>
        </is>
      </c>
      <c r="C16" s="10" t="inlineStr">
        <is>
          <t>Section 43A of the Information Technology Act, 2000 (compensation for failure to protect sensitive personal data) and the related rule-making power in Section 87(2)(ob) are omitted. Policies, notices and contracts built on that earlier regime need to move to the DPDP Act.</t>
        </is>
      </c>
      <c r="D16" s="10" t="inlineStr">
        <is>
          <t>Digital Personal Data Protection Act, 2023, Section 44(2)</t>
        </is>
      </c>
      <c r="E16" s="10" t="inlineStr">
        <is>
          <t>Act s.44(2)(a) to (c)</t>
        </is>
      </c>
      <c r="F16" s="10" t="inlineStr">
        <is>
          <t>None</t>
        </is>
      </c>
      <c r="G16" s="11">
        <f>HYPERLINK("#'Legal Text'!A18","Read the exact text")</f>
        <v/>
      </c>
      <c r="H16" s="10" t="inlineStr">
        <is>
          <t>Annex A 5.31 (legal and regulatory requirements); 5.1 (policies for information security)</t>
        </is>
      </c>
      <c r="I16" s="10" t="inlineStr">
        <is>
          <t>All companies that relied on the IT Act regime</t>
        </is>
      </c>
      <c r="J16" s="10" t="inlineStr">
        <is>
          <t>Commencement of s.44(2)</t>
        </is>
      </c>
      <c r="K16" s="10" t="inlineStr">
        <is>
          <t>By commencement. Date of s.44(2) to be confirmed from the notification</t>
        </is>
      </c>
      <c r="L16" s="5" t="n"/>
      <c r="M16" s="10" t="inlineStr">
        <is>
          <t>No separate penalty</t>
        </is>
      </c>
      <c r="N16" s="10" t="inlineStr">
        <is>
          <t>Find every policy, privacy notice and contract that cites Section 43A of the IT Act or the 2011 rules made under it, and update them to the DPDP Act.</t>
        </is>
      </c>
      <c r="O16" s="10" t="inlineStr">
        <is>
          <t>None directly.</t>
        </is>
      </c>
      <c r="P16" s="10" t="inlineStr">
        <is>
          <t>List of documents reviewed and updated.</t>
        </is>
      </c>
      <c r="Q16" s="12" t="n">
        <v>1</v>
      </c>
      <c r="R16" s="13" t="inlineStr">
        <is>
          <t>Not assessed</t>
        </is>
      </c>
      <c r="S16" s="13" t="n"/>
      <c r="T16" s="13" t="n"/>
      <c r="U16" s="14" t="n"/>
      <c r="V16" s="15">
        <f>IF(OR(R16="In place",R16="Not applicable to this organisation"),"Closed",IF(Q16=3,"Priority 1",IF(Q16=2,"Priority 2","Priority 3")))</f>
        <v/>
      </c>
      <c r="W16" s="16">
        <f>IF(L16="","",MAX(0,L16-TODAY()))</f>
        <v/>
      </c>
    </row>
    <row r="17" ht="120" customHeight="1">
      <c r="A17" s="4" t="inlineStr">
        <is>
          <t>DPDP-Act-S8(5)</t>
        </is>
      </c>
      <c r="B17" s="10" t="inlineStr">
        <is>
          <t>Security</t>
        </is>
      </c>
      <c r="C17" s="10" t="inlineStr">
        <is>
          <t>Protect personal data with reasonable security safeguards to prevent a breach. At a minimum: encryption, masking or tokenisation; access control; logs, monitoring and review; backups for continuity; keeping logs and personal data for one year for detection and investigation; security clauses in Data Processor contracts; and technical and organisational measures.</t>
        </is>
      </c>
      <c r="D17" s="10" t="inlineStr">
        <is>
          <t>Digital Personal Data Protection Act, 2023, Section 8(5)</t>
        </is>
      </c>
      <c r="E17" s="10" t="inlineStr">
        <is>
          <t>Act s.8(4), s.8(5); Rules 6(2). Each clause of Rule 6(1) has its own row.</t>
        </is>
      </c>
      <c r="F17" s="10" t="inlineStr">
        <is>
          <t>DPDP-Rule-6(1)(a) to DPDP-Rule-6(1)(g); DPDP-Rule-7(1); DPDP-Rule-8(3)</t>
        </is>
      </c>
      <c r="G17" s="11">
        <f>HYPERLINK("#'Legal Text'!A19","Read the exact text")</f>
        <v/>
      </c>
      <c r="H17" s="10" t="inlineStr">
        <is>
          <t>Annex A 8.24 (use of cryptography); 8.11 (data masking); 5.15 and 8.3 (access control and restriction of access); 8.2 (privileged access); 8.15 (logging); 8.16 (monitoring); 8.13 (information backup); 5.20 (security requirements in supplier agreements)</t>
        </is>
      </c>
      <c r="I17" s="10" t="inlineStr">
        <is>
          <t>All Data Fiduciaries, including processing done by their Data Processors</t>
        </is>
      </c>
      <c r="J17" s="10" t="inlineStr">
        <is>
          <t>Always</t>
        </is>
      </c>
      <c r="K17" s="10" t="inlineStr">
        <is>
          <t>Continuous</t>
        </is>
      </c>
      <c r="L17" s="5" t="n">
        <v>46520</v>
      </c>
      <c r="M17" s="10" t="inlineStr">
        <is>
          <t>Up to ₹250 crore (Schedule to the Act, item 1: Section 8(5))</t>
        </is>
      </c>
      <c r="N17" s="10" t="inlineStr">
        <is>
          <t>This row is the overall duty. Assess and test each clause of Rule 6(1) in its own row below.</t>
        </is>
      </c>
      <c r="O17" s="10" t="inlineStr">
        <is>
          <t>Encryption at rest and in transit; access reviews; central logging kept for at least one year; backup and restore tests.</t>
        </is>
      </c>
      <c r="P17" s="10" t="inlineStr">
        <is>
          <t>Configuration exports; access review records; log retention settings; restore test reports.</t>
        </is>
      </c>
      <c r="Q17" s="12" t="n">
        <v>3</v>
      </c>
      <c r="R17" s="13" t="inlineStr">
        <is>
          <t>Not assessed</t>
        </is>
      </c>
      <c r="S17" s="13" t="n"/>
      <c r="T17" s="13" t="n"/>
      <c r="U17" s="14" t="n"/>
      <c r="V17" s="15">
        <f>IF(OR(R17="In place",R17="Not applicable to this organisation"),"Closed",IF(Q17=3,"Priority 1",IF(Q17=2,"Priority 2","Priority 3")))</f>
        <v/>
      </c>
      <c r="W17" s="16">
        <f>IF(L17="","",MAX(0,L17-TODAY()))</f>
        <v/>
      </c>
    </row>
    <row r="18" ht="120" customHeight="1">
      <c r="A18" s="4" t="inlineStr">
        <is>
          <t>DPDP-Rule-6(1)(a)</t>
        </is>
      </c>
      <c r="B18" s="10" t="inlineStr">
        <is>
          <t>Security</t>
        </is>
      </c>
      <c r="C18" s="10" t="inlineStr">
        <is>
          <t>Secure personal data through encryption, obfuscation, masking or virtual tokens mapped to the data.</t>
        </is>
      </c>
      <c r="D18" s="10" t="inlineStr">
        <is>
          <t>Digital Personal Data Protection Rules, 2025, Rule 6(1)(a)</t>
        </is>
      </c>
      <c r="E18" s="10" t="inlineStr">
        <is>
          <t>Rules 6(1)(a)</t>
        </is>
      </c>
      <c r="F18" s="10" t="inlineStr">
        <is>
          <t>DPDP-Act-S8(5) (overall duty)</t>
        </is>
      </c>
      <c r="G18" s="11">
        <f>HYPERLINK("#'Legal Text'!A20","Read the exact text")</f>
        <v/>
      </c>
      <c r="H18" s="10" t="inlineStr">
        <is>
          <t>Annex A 8.24 (use of cryptography); 8.11 (data masking)</t>
        </is>
      </c>
      <c r="I18" s="10" t="inlineStr">
        <is>
          <t>All Data Fiduciaries, including processing done by their Data Processors</t>
        </is>
      </c>
      <c r="J18" s="10" t="inlineStr">
        <is>
          <t>Always</t>
        </is>
      </c>
      <c r="K18" s="10" t="inlineStr">
        <is>
          <t>Continuous</t>
        </is>
      </c>
      <c r="L18" s="5" t="n">
        <v>46520</v>
      </c>
      <c r="M18" s="10" t="inlineStr">
        <is>
          <t>Up to ₹250 crore (Schedule to the Act, item 1: part of the Section 8(5) duty)</t>
        </is>
      </c>
      <c r="N18" s="10" t="inlineStr">
        <is>
          <t>Approve an encryption and key management standard, including where masking or tokens must be used.</t>
        </is>
      </c>
      <c r="O18" s="10" t="inlineStr">
        <is>
          <t>Encryption at rest and in transit for every store holding personal data, checked before each release. Masked or tokenised data outside production.</t>
        </is>
      </c>
      <c r="P18" s="10" t="inlineStr">
        <is>
          <t>Pre-release check results; encryption configuration report.</t>
        </is>
      </c>
      <c r="Q18" s="12" t="n">
        <v>3</v>
      </c>
      <c r="R18" s="13" t="inlineStr">
        <is>
          <t>Not assessed</t>
        </is>
      </c>
      <c r="S18" s="13" t="n"/>
      <c r="T18" s="13" t="n"/>
      <c r="U18" s="14" t="n"/>
      <c r="V18" s="15">
        <f>IF(OR(R18="In place",R18="Not applicable to this organisation"),"Closed",IF(Q18=3,"Priority 1",IF(Q18=2,"Priority 2","Priority 3")))</f>
        <v/>
      </c>
      <c r="W18" s="16">
        <f>IF(L18="","",MAX(0,L18-TODAY()))</f>
        <v/>
      </c>
    </row>
    <row r="19" ht="120" customHeight="1">
      <c r="A19" s="4" t="inlineStr">
        <is>
          <t>DPDP-Rule-6(1)(b)</t>
        </is>
      </c>
      <c r="B19" s="10" t="inlineStr">
        <is>
          <t>Security</t>
        </is>
      </c>
      <c r="C19" s="10" t="inlineStr">
        <is>
          <t>Control access to the computer resources used by the Data Fiduciary and its Data Processors.</t>
        </is>
      </c>
      <c r="D19" s="10" t="inlineStr">
        <is>
          <t>Digital Personal Data Protection Rules, 2025, Rule 6(1)(b)</t>
        </is>
      </c>
      <c r="E19" s="10" t="inlineStr">
        <is>
          <t>Rules 6(1)(b)</t>
        </is>
      </c>
      <c r="F19" s="10" t="inlineStr">
        <is>
          <t>DPDP-Act-S8(5) (overall duty)</t>
        </is>
      </c>
      <c r="G19" s="11">
        <f>HYPERLINK("#'Legal Text'!A21","Read the exact text")</f>
        <v/>
      </c>
      <c r="H19" s="10" t="inlineStr">
        <is>
          <t>Annex A 5.15 (access control); 5.18 (access rights); 8.2 (privileged access); 8.5 (secure authentication)</t>
        </is>
      </c>
      <c r="I19" s="10" t="inlineStr">
        <is>
          <t>All Data Fiduciaries, including processing done by their Data Processors</t>
        </is>
      </c>
      <c r="J19" s="10" t="inlineStr">
        <is>
          <t>Always</t>
        </is>
      </c>
      <c r="K19" s="10" t="inlineStr">
        <is>
          <t>Continuous</t>
        </is>
      </c>
      <c r="L19" s="5" t="n">
        <v>46520</v>
      </c>
      <c r="M19" s="10" t="inlineStr">
        <is>
          <t>Up to ₹250 crore (Schedule to the Act, item 1: part of the Section 8(5) duty)</t>
        </is>
      </c>
      <c r="N19" s="10" t="inlineStr">
        <is>
          <t>Access control policy; periodic access reviews with named reviewers.</t>
        </is>
      </c>
      <c r="O19" s="10" t="inlineStr">
        <is>
          <t>Single sign-on with multi-factor authentication; no long-lived access keys; least-privilege roles.</t>
        </is>
      </c>
      <c r="P19" s="10" t="inlineStr">
        <is>
          <t>List of users and keys showing none stored; access review records.</t>
        </is>
      </c>
      <c r="Q19" s="12" t="n">
        <v>3</v>
      </c>
      <c r="R19" s="13" t="inlineStr">
        <is>
          <t>Not assessed</t>
        </is>
      </c>
      <c r="S19" s="13" t="n"/>
      <c r="T19" s="13" t="n"/>
      <c r="U19" s="14" t="n"/>
      <c r="V19" s="15">
        <f>IF(OR(R19="In place",R19="Not applicable to this organisation"),"Closed",IF(Q19=3,"Priority 1",IF(Q19=2,"Priority 2","Priority 3")))</f>
        <v/>
      </c>
      <c r="W19" s="16">
        <f>IF(L19="","",MAX(0,L19-TODAY()))</f>
        <v/>
      </c>
    </row>
    <row r="20" ht="120" customHeight="1">
      <c r="A20" s="4" t="inlineStr">
        <is>
          <t>DPDP-Rule-6(1)(c)</t>
        </is>
      </c>
      <c r="B20" s="10" t="inlineStr">
        <is>
          <t>Security</t>
        </is>
      </c>
      <c r="C20" s="10" t="inlineStr">
        <is>
          <t>Keep logs of access to personal data, and monitor and review them, so that unauthorised access can be detected, investigated and stopped from recurring.</t>
        </is>
      </c>
      <c r="D20" s="10" t="inlineStr">
        <is>
          <t>Digital Personal Data Protection Rules, 2025, Rule 6(1)(c)</t>
        </is>
      </c>
      <c r="E20" s="10" t="inlineStr">
        <is>
          <t>Rules 6(1)(c)</t>
        </is>
      </c>
      <c r="F20" s="10" t="inlineStr">
        <is>
          <t>DPDP-Act-S8(5) (overall duty)</t>
        </is>
      </c>
      <c r="G20" s="11">
        <f>HYPERLINK("#'Legal Text'!A22","Read the exact text")</f>
        <v/>
      </c>
      <c r="H20" s="10" t="inlineStr">
        <is>
          <t>Annex A 8.15 (logging); 8.16 (monitoring activities)</t>
        </is>
      </c>
      <c r="I20" s="10" t="inlineStr">
        <is>
          <t>All Data Fiduciaries, including processing done by their Data Processors</t>
        </is>
      </c>
      <c r="J20" s="10" t="inlineStr">
        <is>
          <t>Always</t>
        </is>
      </c>
      <c r="K20" s="10" t="inlineStr">
        <is>
          <t>Continuous</t>
        </is>
      </c>
      <c r="L20" s="5" t="n">
        <v>46520</v>
      </c>
      <c r="M20" s="10" t="inlineStr">
        <is>
          <t>Up to ₹250 crore (Schedule to the Act, item 1: part of the Section 8(5) duty)</t>
        </is>
      </c>
      <c r="N20" s="10" t="inlineStr">
        <is>
          <t>Define which events are logged, who reviews them and how often.</t>
        </is>
      </c>
      <c r="O20" s="10" t="inlineStr">
        <is>
          <t>An audit trail that cannot be stopped or altered; access logging on data stores; alerts on suspicious access.</t>
        </is>
      </c>
      <c r="P20" s="10" t="inlineStr">
        <is>
          <t>Audit trail configuration; test results; review records.</t>
        </is>
      </c>
      <c r="Q20" s="12" t="n">
        <v>3</v>
      </c>
      <c r="R20" s="13" t="inlineStr">
        <is>
          <t>Not assessed</t>
        </is>
      </c>
      <c r="S20" s="13" t="n"/>
      <c r="T20" s="13" t="n"/>
      <c r="U20" s="14" t="n"/>
      <c r="V20" s="15">
        <f>IF(OR(R20="In place",R20="Not applicable to this organisation"),"Closed",IF(Q20=3,"Priority 1",IF(Q20=2,"Priority 2","Priority 3")))</f>
        <v/>
      </c>
      <c r="W20" s="16">
        <f>IF(L20="","",MAX(0,L20-TODAY()))</f>
        <v/>
      </c>
    </row>
    <row r="21" ht="120" customHeight="1">
      <c r="A21" s="4" t="inlineStr">
        <is>
          <t>DPDP-Rule-6(1)(d)</t>
        </is>
      </c>
      <c r="B21" s="10" t="inlineStr">
        <is>
          <t>Security</t>
        </is>
      </c>
      <c r="C21" s="10" t="inlineStr">
        <is>
          <t>Take reasonable measures, such as backups, so that processing can continue if personal data is destroyed, lost or compromised.</t>
        </is>
      </c>
      <c r="D21" s="10" t="inlineStr">
        <is>
          <t>Digital Personal Data Protection Rules, 2025, Rule 6(1)(d)</t>
        </is>
      </c>
      <c r="E21" s="10" t="inlineStr">
        <is>
          <t>Rules 6(1)(d)</t>
        </is>
      </c>
      <c r="F21" s="10" t="inlineStr">
        <is>
          <t>DPDP-Act-S8(5) (overall duty)</t>
        </is>
      </c>
      <c r="G21" s="11">
        <f>HYPERLINK("#'Legal Text'!A23","Read the exact text")</f>
        <v/>
      </c>
      <c r="H21" s="10" t="inlineStr">
        <is>
          <t>Annex A 8.13 (information backup); 8.14 (redundancy); 5.30 (ICT readiness for business continuity)</t>
        </is>
      </c>
      <c r="I21" s="10" t="inlineStr">
        <is>
          <t>All Data Fiduciaries, including processing done by their Data Processors</t>
        </is>
      </c>
      <c r="J21" s="10" t="inlineStr">
        <is>
          <t>Always</t>
        </is>
      </c>
      <c r="K21" s="10" t="inlineStr">
        <is>
          <t>Continuous</t>
        </is>
      </c>
      <c r="L21" s="5" t="n">
        <v>46520</v>
      </c>
      <c r="M21" s="10" t="inlineStr">
        <is>
          <t>Up to ₹250 crore (Schedule to the Act, item 1: part of the Section 8(5) duty)</t>
        </is>
      </c>
      <c r="N21" s="10" t="inlineStr">
        <is>
          <t>Backup policy with recovery objectives for each system holding personal data.</t>
        </is>
      </c>
      <c r="O21" s="10" t="inlineStr">
        <is>
          <t>Automated backups; regular restore tests with recorded results.</t>
        </is>
      </c>
      <c r="P21" s="10" t="inlineStr">
        <is>
          <t>Backup reports; restore test results.</t>
        </is>
      </c>
      <c r="Q21" s="12" t="n">
        <v>2</v>
      </c>
      <c r="R21" s="13" t="inlineStr">
        <is>
          <t>Not assessed</t>
        </is>
      </c>
      <c r="S21" s="13" t="n"/>
      <c r="T21" s="13" t="n"/>
      <c r="U21" s="14" t="n"/>
      <c r="V21" s="15">
        <f>IF(OR(R21="In place",R21="Not applicable to this organisation"),"Closed",IF(Q21=3,"Priority 1",IF(Q21=2,"Priority 2","Priority 3")))</f>
        <v/>
      </c>
      <c r="W21" s="16">
        <f>IF(L21="","",MAX(0,L21-TODAY()))</f>
        <v/>
      </c>
    </row>
    <row r="22" ht="120" customHeight="1">
      <c r="A22" s="4" t="inlineStr">
        <is>
          <t>DPDP-Rule-6(1)(e)</t>
        </is>
      </c>
      <c r="B22" s="10" t="inlineStr">
        <is>
          <t>Security</t>
        </is>
      </c>
      <c r="C22" s="10" t="inlineStr">
        <is>
          <t>Keep the logs and personal data needed to detect, investigate and recover from unauthorised access for one year, unless another law requires otherwise.</t>
        </is>
      </c>
      <c r="D22" s="10" t="inlineStr">
        <is>
          <t>Digital Personal Data Protection Rules, 2025, Rule 6(1)(e)</t>
        </is>
      </c>
      <c r="E22" s="10" t="inlineStr">
        <is>
          <t>Rules 6(1)(e)</t>
        </is>
      </c>
      <c r="F22" s="10" t="inlineStr">
        <is>
          <t>DPDP-Act-S8(5) (overall duty)</t>
        </is>
      </c>
      <c r="G22" s="11">
        <f>HYPERLINK("#'Legal Text'!A24","Read the exact text")</f>
        <v/>
      </c>
      <c r="H22" s="10" t="inlineStr">
        <is>
          <t>Annex A 8.15 (logging); 5.33 (protection of records)</t>
        </is>
      </c>
      <c r="I22" s="10" t="inlineStr">
        <is>
          <t>All Data Fiduciaries, including processing done by their Data Processors</t>
        </is>
      </c>
      <c r="J22" s="10" t="inlineStr">
        <is>
          <t>Each log entry or record</t>
        </is>
      </c>
      <c r="K22" s="10" t="inlineStr">
        <is>
          <t>One year</t>
        </is>
      </c>
      <c r="L22" s="5" t="n">
        <v>46520</v>
      </c>
      <c r="M22" s="10" t="inlineStr">
        <is>
          <t>Up to ₹250 crore (Schedule to the Act, item 1: part of the Section 8(5) duty)</t>
        </is>
      </c>
      <c r="N22" s="10" t="inlineStr">
        <is>
          <t>Record the retention period for each type of log and the legal reason for any different period.</t>
        </is>
      </c>
      <c r="O22" s="10" t="inlineStr">
        <is>
          <t>Log retention of at least 365 days, locked so that it cannot be shortened or deleted early; checked before release.</t>
        </is>
      </c>
      <c r="P22" s="10" t="inlineStr">
        <is>
          <t>Retention settings; test results showing logs cannot be deleted early.</t>
        </is>
      </c>
      <c r="Q22" s="12" t="n">
        <v>3</v>
      </c>
      <c r="R22" s="13" t="inlineStr">
        <is>
          <t>Partially in place</t>
        </is>
      </c>
      <c r="S22" s="13" t="inlineStr">
        <is>
          <t>Example: Head of IT Infrastructure</t>
        </is>
      </c>
      <c r="T22" s="13" t="inlineStr">
        <is>
          <t>EXAMPLE ENTRY: application logs are kept for 90 days, but Rule 6(1)(e) requires one year. Logs can be deleted by any administrator.</t>
        </is>
      </c>
      <c r="U22" s="14" t="n">
        <v>46418</v>
      </c>
      <c r="V22" s="15">
        <f>IF(OR(R22="In place",R22="Not applicable to this organisation"),"Closed",IF(Q22=3,"Priority 1",IF(Q22=2,"Priority 2","Priority 3")))</f>
        <v/>
      </c>
      <c r="W22" s="16">
        <f>IF(L22="","",MAX(0,L22-TODAY()))</f>
        <v/>
      </c>
    </row>
    <row r="23" ht="120" customHeight="1">
      <c r="A23" s="4" t="inlineStr">
        <is>
          <t>DPDP-Rule-6(1)(f)</t>
        </is>
      </c>
      <c r="B23" s="10" t="inlineStr">
        <is>
          <t>Security</t>
        </is>
      </c>
      <c r="C23" s="10" t="inlineStr">
        <is>
          <t>Include terms in each contract with a Data Processor requiring it to take reasonable security safeguards.</t>
        </is>
      </c>
      <c r="D23" s="10" t="inlineStr">
        <is>
          <t>Digital Personal Data Protection Rules, 2025, Rule 6(1)(f)</t>
        </is>
      </c>
      <c r="E23" s="10" t="inlineStr">
        <is>
          <t>Rules 6(1)(f)</t>
        </is>
      </c>
      <c r="F23" s="10" t="inlineStr">
        <is>
          <t>DPDP-Act-S8(5) (overall duty)</t>
        </is>
      </c>
      <c r="G23" s="11">
        <f>HYPERLINK("#'Legal Text'!A25","Read the exact text")</f>
        <v/>
      </c>
      <c r="H23" s="10" t="inlineStr">
        <is>
          <t>Annex A 5.19 (supplier relationships); 5.20 (security in supplier agreements)</t>
        </is>
      </c>
      <c r="I23" s="10" t="inlineStr">
        <is>
          <t>All Data Fiduciaries, including processing done by their Data Processors</t>
        </is>
      </c>
      <c r="J23" s="10" t="inlineStr">
        <is>
          <t>Before engaging a Data Processor</t>
        </is>
      </c>
      <c r="K23" s="10" t="inlineStr">
        <is>
          <t>Before data is shared</t>
        </is>
      </c>
      <c r="L23" s="5" t="n">
        <v>46520</v>
      </c>
      <c r="M23" s="10" t="inlineStr">
        <is>
          <t>Up to ₹250 crore (Schedule to the Act, item 1: part of the Section 8(5) duty)</t>
        </is>
      </c>
      <c r="N23" s="10" t="inlineStr">
        <is>
          <t>Standard contract clauses; register of Data Processors with the clause reference for each.</t>
        </is>
      </c>
      <c r="O23" s="10" t="inlineStr">
        <is>
          <t>Vendor register linked to the data flows each vendor receives.</t>
        </is>
      </c>
      <c r="P23" s="10" t="inlineStr">
        <is>
          <t>Signed contracts; vendor register.</t>
        </is>
      </c>
      <c r="Q23" s="12" t="n">
        <v>2</v>
      </c>
      <c r="R23" s="13" t="inlineStr">
        <is>
          <t>Not assessed</t>
        </is>
      </c>
      <c r="S23" s="13" t="n"/>
      <c r="T23" s="13" t="n"/>
      <c r="U23" s="14" t="n"/>
      <c r="V23" s="15">
        <f>IF(OR(R23="In place",R23="Not applicable to this organisation"),"Closed",IF(Q23=3,"Priority 1",IF(Q23=2,"Priority 2","Priority 3")))</f>
        <v/>
      </c>
      <c r="W23" s="16">
        <f>IF(L23="","",MAX(0,L23-TODAY()))</f>
        <v/>
      </c>
    </row>
    <row r="24" ht="120" customHeight="1">
      <c r="A24" s="4" t="inlineStr">
        <is>
          <t>DPDP-Rule-6(1)(g)</t>
        </is>
      </c>
      <c r="B24" s="10" t="inlineStr">
        <is>
          <t>Security</t>
        </is>
      </c>
      <c r="C24" s="10" t="inlineStr">
        <is>
          <t>Take appropriate technical and organisational measures to make sure the safeguards actually work.</t>
        </is>
      </c>
      <c r="D24" s="10" t="inlineStr">
        <is>
          <t>Digital Personal Data Protection Rules, 2025, Rule 6(1)(g)</t>
        </is>
      </c>
      <c r="E24" s="10" t="inlineStr">
        <is>
          <t>Rules 6(1)(g)</t>
        </is>
      </c>
      <c r="F24" s="10" t="inlineStr">
        <is>
          <t>DPDP-Act-S8(5) (overall duty)</t>
        </is>
      </c>
      <c r="G24" s="11">
        <f>HYPERLINK("#'Legal Text'!A26","Read the exact text")</f>
        <v/>
      </c>
      <c r="H24" s="10" t="inlineStr">
        <is>
          <t>Annex A 5.1 (policies); 5.35 (independent review); 5.36 (compliance with policies and standards)</t>
        </is>
      </c>
      <c r="I24" s="10" t="inlineStr">
        <is>
          <t>All Data Fiduciaries, including processing done by their Data Processors</t>
        </is>
      </c>
      <c r="J24" s="10" t="inlineStr">
        <is>
          <t>Always</t>
        </is>
      </c>
      <c r="K24" s="10" t="inlineStr">
        <is>
          <t>Continuous</t>
        </is>
      </c>
      <c r="L24" s="5" t="n">
        <v>46520</v>
      </c>
      <c r="M24" s="10" t="inlineStr">
        <is>
          <t>Up to ₹250 crore (Schedule to the Act, item 1: part of the Section 8(5) duty)</t>
        </is>
      </c>
      <c r="N24" s="10" t="inlineStr">
        <is>
          <t>Assign an owner to each safeguard; review results regularly with management.</t>
        </is>
      </c>
      <c r="O24" s="10" t="inlineStr">
        <is>
          <t>Automated tests of each control; results stored where they cannot be altered.</t>
        </is>
      </c>
      <c r="P24" s="10" t="inlineStr">
        <is>
          <t>Control test results; management review records.</t>
        </is>
      </c>
      <c r="Q24" s="12" t="n">
        <v>3</v>
      </c>
      <c r="R24" s="13" t="inlineStr">
        <is>
          <t>Not assessed</t>
        </is>
      </c>
      <c r="S24" s="13" t="n"/>
      <c r="T24" s="13" t="n"/>
      <c r="U24" s="14" t="n"/>
      <c r="V24" s="15">
        <f>IF(OR(R24="In place",R24="Not applicable to this organisation"),"Closed",IF(Q24=3,"Priority 1",IF(Q24=2,"Priority 2","Priority 3")))</f>
        <v/>
      </c>
      <c r="W24" s="16">
        <f>IF(L24="","",MAX(0,L24-TODAY()))</f>
        <v/>
      </c>
    </row>
    <row r="25" ht="120" customHeight="1">
      <c r="A25" s="4" t="inlineStr">
        <is>
          <t>DPDP-Rule-7(1)</t>
        </is>
      </c>
      <c r="B25" s="10" t="inlineStr">
        <is>
          <t>Breach</t>
        </is>
      </c>
      <c r="C25" s="10" t="inlineStr">
        <is>
          <t>On becoming aware of a personal data breach, inform each affected person without delay: what happened, the likely consequences for them, what is being done, what they can do, and whom to contact.</t>
        </is>
      </c>
      <c r="D25" s="10" t="inlineStr">
        <is>
          <t>Digital Personal Data Protection Rules, 2025, Rule 7(1)</t>
        </is>
      </c>
      <c r="E25" s="10" t="inlineStr">
        <is>
          <t>Act s.8(6) (intimation to each affected person); Rules 7(1)(a) to 7(1)(e)</t>
        </is>
      </c>
      <c r="F25" s="10" t="inlineStr">
        <is>
          <t>DPDP-Rule-7(2)</t>
        </is>
      </c>
      <c r="G25" s="11">
        <f>HYPERLINK("#'Legal Text'!A27","Read the exact text")</f>
        <v/>
      </c>
      <c r="H25" s="10" t="inlineStr">
        <is>
          <t>Annex A 5.24 to 5.26 (incident planning, assessment and response); 5.28 (collection of evidence)</t>
        </is>
      </c>
      <c r="I25" s="10" t="inlineStr">
        <is>
          <t>All Data Fiduciaries</t>
        </is>
      </c>
      <c r="J25" s="10" t="inlineStr">
        <is>
          <t>Becoming aware of a personal data breach</t>
        </is>
      </c>
      <c r="K25" s="10" t="inlineStr">
        <is>
          <t>Without delay</t>
        </is>
      </c>
      <c r="L25" s="5" t="n">
        <v>46520</v>
      </c>
      <c r="M25" s="10" t="inlineStr">
        <is>
          <t>Up to ₹200 crore (Schedule to the Act, item 2: Section 8(6))</t>
        </is>
      </c>
      <c r="N25" s="10" t="inlineStr">
        <is>
          <t>Breach procedure; pre-approved message templates; a record of every decision with its time.</t>
        </is>
      </c>
      <c r="O25" s="10" t="inlineStr">
        <is>
          <t>Ability to identify affected people in each system; bulk notification through the user account or registered contact details.</t>
        </is>
      </c>
      <c r="P25" s="10" t="inlineStr">
        <is>
          <t>Notification records; decision record with times.</t>
        </is>
      </c>
      <c r="Q25" s="12" t="n">
        <v>3</v>
      </c>
      <c r="R25" s="13" t="inlineStr">
        <is>
          <t>Not assessed</t>
        </is>
      </c>
      <c r="S25" s="13" t="n"/>
      <c r="T25" s="13" t="n"/>
      <c r="U25" s="14" t="n"/>
      <c r="V25" s="15">
        <f>IF(OR(R25="In place",R25="Not applicable to this organisation"),"Closed",IF(Q25=3,"Priority 1",IF(Q25=2,"Priority 2","Priority 3")))</f>
        <v/>
      </c>
      <c r="W25" s="16">
        <f>IF(L25="","",MAX(0,L25-TODAY()))</f>
        <v/>
      </c>
    </row>
    <row r="26" ht="120" customHeight="1">
      <c r="A26" s="4" t="inlineStr">
        <is>
          <t>DPDP-Rule-7(2)</t>
        </is>
      </c>
      <c r="B26" s="10" t="inlineStr">
        <is>
          <t>Breach</t>
        </is>
      </c>
      <c r="C26" s="10" t="inlineStr">
        <is>
          <t>Inform the Data Protection Board without delay with an initial description, and within 72 hours with a detailed report: updated description, facts and causes, mitigation, findings on who caused it, measures to prevent recurrence, and a report on the notices sent to affected people. A longer period applies only if the Board allows it on a written request.</t>
        </is>
      </c>
      <c r="D26" s="10" t="inlineStr">
        <is>
          <t>Digital Personal Data Protection Rules, 2025, Rule 7(2)</t>
        </is>
      </c>
      <c r="E26" s="10" t="inlineStr">
        <is>
          <t>Act s.8(6) (intimation to the Board); Rules 7(2)(a), 7(2)(b)</t>
        </is>
      </c>
      <c r="F26" s="10" t="inlineStr">
        <is>
          <t>DPDP-Rule-7(1)</t>
        </is>
      </c>
      <c r="G26" s="11">
        <f>HYPERLINK("#'Legal Text'!A29","Read the exact text")</f>
        <v/>
      </c>
      <c r="H26" s="10" t="inlineStr">
        <is>
          <t>Annex A 5.5 (contact with authorities); 5.24 to 5.26 (incident planning, assessment and response)</t>
        </is>
      </c>
      <c r="I26" s="10" t="inlineStr">
        <is>
          <t>All Data Fiduciaries</t>
        </is>
      </c>
      <c r="J26" s="10" t="inlineStr">
        <is>
          <t>Becoming aware of a personal data breach</t>
        </is>
      </c>
      <c r="K26" s="10" t="inlineStr">
        <is>
          <t>Without delay, then a detailed report within 72 hours</t>
        </is>
      </c>
      <c r="L26" s="5" t="n">
        <v>46520</v>
      </c>
      <c r="M26" s="10" t="inlineStr">
        <is>
          <t>Up to ₹200 crore (Schedule to the Act, item 2: Section 8(6))</t>
        </is>
      </c>
      <c r="N26" s="10" t="inlineStr">
        <is>
          <t>72-hour report template; a named approver; a template for requesting more time.</t>
        </is>
      </c>
      <c r="O26" s="10" t="inlineStr">
        <is>
          <t>Forensic logging and timeline reconstruction to complete the 72-hour report.</t>
        </is>
      </c>
      <c r="P26" s="10" t="inlineStr">
        <is>
          <t>Submissions to the Board; incident timeline.</t>
        </is>
      </c>
      <c r="Q26" s="12" t="n">
        <v>3</v>
      </c>
      <c r="R26" s="13" t="inlineStr">
        <is>
          <t>Not assessed</t>
        </is>
      </c>
      <c r="S26" s="13" t="n"/>
      <c r="T26" s="13" t="n"/>
      <c r="U26" s="14" t="n"/>
      <c r="V26" s="15">
        <f>IF(OR(R26="In place",R26="Not applicable to this organisation"),"Closed",IF(Q26=3,"Priority 1",IF(Q26=2,"Priority 2","Priority 3")))</f>
        <v/>
      </c>
      <c r="W26" s="16">
        <f>IF(L26="","",MAX(0,L26-TODAY()))</f>
        <v/>
      </c>
    </row>
    <row r="27" ht="120" customHeight="1">
      <c r="A27" s="4" t="inlineStr">
        <is>
          <t>DPDP-Act-S8(7)</t>
        </is>
      </c>
      <c r="B27" s="10" t="inlineStr">
        <is>
          <t>Retention and erasure</t>
        </is>
      </c>
      <c r="C27" s="10" t="inlineStr">
        <is>
          <t>Erase personal data when consent is withdrawn or when the purpose is no longer being served, whichever is earlier, and make Data Processors erase it too, unless the law requires it to be kept.</t>
        </is>
      </c>
      <c r="D27" s="10" t="inlineStr">
        <is>
          <t>Digital Personal Data Protection Act, 2023, Section 8(7)</t>
        </is>
      </c>
      <c r="E27" s="10" t="inlineStr">
        <is>
          <t>Act s.8(7)(a), s.8(7)(b)</t>
        </is>
      </c>
      <c r="F27" s="10" t="inlineStr">
        <is>
          <t>DPDP-Rule-8(3); DPDP-Rule-8(1); DPDP-Act-S12; DPDP-Act-S38</t>
        </is>
      </c>
      <c r="G27" s="11">
        <f>HYPERLINK("#'Legal Text'!A30","Read the exact text")</f>
        <v/>
      </c>
      <c r="H27" s="10" t="inlineStr">
        <is>
          <t>Annex A 8.10 (deleting information when no longer required); 5.34 (privacy and protection of personal information)</t>
        </is>
      </c>
      <c r="I27" s="10" t="inlineStr">
        <is>
          <t>All Data Fiduciaries</t>
        </is>
      </c>
      <c r="J27" s="10" t="inlineStr">
        <is>
          <t>Withdrawal of consent, or the purpose is no longer served</t>
        </is>
      </c>
      <c r="K27" s="10" t="inlineStr">
        <is>
          <t>When the trigger occurs</t>
        </is>
      </c>
      <c r="L27" s="5" t="n">
        <v>46520</v>
      </c>
      <c r="M27" s="10" t="inlineStr">
        <is>
          <t>Up to ₹50 crore (Schedule to the Act, item 7: breach of any other provision)</t>
        </is>
      </c>
      <c r="N27" s="10" t="inlineStr">
        <is>
          <t>Retention schedule for each category of data, stating the legal reason for any retention.</t>
        </is>
      </c>
      <c r="O27" s="10" t="inlineStr">
        <is>
          <t>Three states for every record: in use, sealed (kept only for a legal reason, restricted, every read logged), erased. Each record has its own expiry date. Erasure reaches logs and Data Processors. Backups are kept for weeks, not years, never edited and used only for recovery; any restore goes to a new copy, and the erasure register is re-applied before the data is used.</t>
        </is>
      </c>
      <c r="P27" s="10" t="inlineStr">
        <is>
          <t>Erasure job records; search results for a deleted test customer after 1 day, 30 days and 1 year, and after a backup restore.</t>
        </is>
      </c>
      <c r="Q27" s="12" t="n">
        <v>3</v>
      </c>
      <c r="R27" s="13" t="inlineStr">
        <is>
          <t>Not assessed</t>
        </is>
      </c>
      <c r="S27" s="13" t="n"/>
      <c r="T27" s="13" t="n"/>
      <c r="U27" s="14" t="n"/>
      <c r="V27" s="15">
        <f>IF(OR(R27="In place",R27="Not applicable to this organisation"),"Closed",IF(Q27=3,"Priority 1",IF(Q27=2,"Priority 2","Priority 3")))</f>
        <v/>
      </c>
      <c r="W27" s="16">
        <f>IF(L27="","",MAX(0,L27-TODAY()))</f>
        <v/>
      </c>
    </row>
    <row r="28" ht="120" customHeight="1">
      <c r="A28" s="4" t="inlineStr">
        <is>
          <t>DPDP-Rule-8(3)</t>
        </is>
      </c>
      <c r="B28" s="10" t="inlineStr">
        <is>
          <t>Retention and erasure</t>
        </is>
      </c>
      <c r="C28" s="10" t="inlineStr">
        <is>
          <t>Keep personal data, related traffic data and processing logs for at least one year from the date of each processing, including data held by Data Processors, for the purposes in the Seventh Schedule; then erase them unless another law requires longer. The Rule's illustration says this applies even if the person deletes her account.</t>
        </is>
      </c>
      <c r="D28" s="10" t="inlineStr">
        <is>
          <t>Digital Personal Data Protection Rules, 2025, Rule 8(3)</t>
        </is>
      </c>
      <c r="E28" s="10" t="inlineStr">
        <is>
          <t>Rules 8(3); Seventh Schedule</t>
        </is>
      </c>
      <c r="F28" s="10" t="inlineStr">
        <is>
          <t>DPDP-Rule-6(1)(e); DPDP-Rule-23</t>
        </is>
      </c>
      <c r="G28" s="11">
        <f>HYPERLINK("#'Legal Text'!A31","Read the exact text")</f>
        <v/>
      </c>
      <c r="H28" s="10" t="inlineStr">
        <is>
          <t>Annex A 5.33 (protection of records); 8.15 (logging)</t>
        </is>
      </c>
      <c r="I28" s="10" t="inlineStr">
        <is>
          <t>All Data Fiduciaries (the scope of this rule is under debate)</t>
        </is>
      </c>
      <c r="J28" s="10" t="inlineStr">
        <is>
          <t>Each processing event</t>
        </is>
      </c>
      <c r="K28" s="10" t="inlineStr">
        <is>
          <t>At least one year from each processing event, then erase</t>
        </is>
      </c>
      <c r="L28" s="5" t="n">
        <v>46520</v>
      </c>
      <c r="M28" s="10" t="inlineStr">
        <is>
          <t>Up to ₹50 crore (Schedule to the Act, item 7: breach of any other provision)</t>
        </is>
      </c>
      <c r="N28" s="10" t="inlineStr">
        <is>
          <t>Record the legal reason for retention for each data category. Track any clarification from the Ministry on the scope of this rule.</t>
        </is>
      </c>
      <c r="O28" s="10" t="inlineStr">
        <is>
          <t>Retention periods held as configuration, not written into code. A sealed store with restricted access. An expiry date for each processing event.</t>
        </is>
      </c>
      <c r="P28" s="10" t="inlineStr">
        <is>
          <t>Retention configuration; access logs of the sealed store.</t>
        </is>
      </c>
      <c r="Q28" s="12" t="n">
        <v>3</v>
      </c>
      <c r="R28" s="13" t="inlineStr">
        <is>
          <t>Not assessed</t>
        </is>
      </c>
      <c r="S28" s="13" t="n"/>
      <c r="T28" s="13" t="n"/>
      <c r="U28" s="14" t="n"/>
      <c r="V28" s="15">
        <f>IF(OR(R28="In place",R28="Not applicable to this organisation"),"Closed",IF(Q28=3,"Priority 1",IF(Q28=2,"Priority 2","Priority 3")))</f>
        <v/>
      </c>
      <c r="W28" s="16">
        <f>IF(L28="","",MAX(0,L28-TODAY()))</f>
        <v/>
      </c>
    </row>
    <row r="29" ht="120" customHeight="1">
      <c r="A29" s="4" t="inlineStr">
        <is>
          <t>DPDP-Rule-8(1)</t>
        </is>
      </c>
      <c r="B29" s="10" t="inlineStr">
        <is>
          <t>Retention and erasure</t>
        </is>
      </c>
      <c r="C29" s="10" t="inlineStr">
        <is>
          <t>Applies only to large platforms: erase personal data after three years without contact from the person (counted from her last contact or the commencement of the Rules, whichever is later), except for access to her account and stored-value tokens. Tell the person at least 48 hours before erasure.</t>
        </is>
      </c>
      <c r="D29" s="10" t="inlineStr">
        <is>
          <t>Digital Personal Data Protection Rules, 2025, Rule 8(1)</t>
        </is>
      </c>
      <c r="E29" s="10" t="inlineStr">
        <is>
          <t>Act s.8(8), s.8(11); Rules 8(1), 8(2); Third Schedule</t>
        </is>
      </c>
      <c r="F29" s="10" t="inlineStr">
        <is>
          <t>DPDP-Act-S8(7)</t>
        </is>
      </c>
      <c r="G29" s="11">
        <f>HYPERLINK("#'Legal Text'!A32","Read the exact text")</f>
        <v/>
      </c>
      <c r="H29" s="10" t="inlineStr">
        <is>
          <t>Annex A 8.10 (deleting information when no longer required)</t>
        </is>
      </c>
      <c r="I29" s="10" t="inlineStr">
        <is>
          <t>E-commerce entities with 2 crore or more registered users in India; online gaming intermediaries with 50 lakh or more; social media intermediaries with 2 crore or more</t>
        </is>
      </c>
      <c r="J29" s="10" t="inlineStr">
        <is>
          <t>The person has not been in contact</t>
        </is>
      </c>
      <c r="K29" s="10" t="inlineStr">
        <is>
          <t>Three years; notice at least 48 hours before erasure</t>
        </is>
      </c>
      <c r="L29" s="5" t="n">
        <v>46520</v>
      </c>
      <c r="M29" s="10" t="inlineStr">
        <is>
          <t>Up to ₹50 crore (Schedule to the Act, item 7: breach of any other provision)</t>
        </is>
      </c>
      <c r="N29" s="10" t="inlineStr">
        <is>
          <t>Confirm whether the organisation crosses a Third Schedule threshold.</t>
        </is>
      </c>
      <c r="O29" s="10" t="inlineStr">
        <is>
          <t>Update the last-contact date on every login or contact. Send the notice 48 hours before. The erasure job checks the last-contact date again at the moment it runs.</t>
        </is>
      </c>
      <c r="P29" s="10" t="inlineStr">
        <is>
          <t>Notice records; erasure records.</t>
        </is>
      </c>
      <c r="Q29" s="12" t="n">
        <v>2</v>
      </c>
      <c r="R29" s="13" t="inlineStr">
        <is>
          <t>Not assessed</t>
        </is>
      </c>
      <c r="S29" s="13" t="n"/>
      <c r="T29" s="13" t="n"/>
      <c r="U29" s="14" t="n"/>
      <c r="V29" s="15">
        <f>IF(OR(R29="In place",R29="Not applicable to this organisation"),"Closed",IF(Q29=3,"Priority 1",IF(Q29=2,"Priority 2","Priority 3")))</f>
        <v/>
      </c>
      <c r="W29" s="16">
        <f>IF(L29="","",MAX(0,L29-TODAY()))</f>
        <v/>
      </c>
    </row>
    <row r="30" ht="120" customHeight="1">
      <c r="A30" s="4" t="inlineStr">
        <is>
          <t>DPDP-Rule-9</t>
        </is>
      </c>
      <c r="B30" s="10" t="inlineStr">
        <is>
          <t>Rights and grievances</t>
        </is>
      </c>
      <c r="C30" s="10" t="inlineStr">
        <is>
          <t>Publish, prominently on the website or app, the business contact details of the Data Protection Officer or of a person who can answer questions about processing. Include these details in every reply to a request to exercise rights.</t>
        </is>
      </c>
      <c r="D30" s="10" t="inlineStr">
        <is>
          <t>Digital Personal Data Protection Rules, 2025, Rule 9</t>
        </is>
      </c>
      <c r="E30" s="10" t="inlineStr">
        <is>
          <t>Act s.8(9); Rules 9</t>
        </is>
      </c>
      <c r="F30" s="10" t="inlineStr">
        <is>
          <t>DPDP-Act-S5(1)</t>
        </is>
      </c>
      <c r="G30" s="11">
        <f>HYPERLINK("#'Legal Text'!A35","Read the exact text")</f>
        <v/>
      </c>
      <c r="H30" s="10" t="inlineStr">
        <is>
          <t>Annex A 5.34 (privacy and protection of personal information)</t>
        </is>
      </c>
      <c r="I30" s="10" t="inlineStr">
        <is>
          <t>All Data Fiduciaries</t>
        </is>
      </c>
      <c r="J30" s="10" t="inlineStr">
        <is>
          <t>Always, and every reply to a rights request</t>
        </is>
      </c>
      <c r="K30" s="10" t="inlineStr">
        <is>
          <t>Ongoing</t>
        </is>
      </c>
      <c r="L30" s="5" t="n">
        <v>46520</v>
      </c>
      <c r="M30" s="10" t="inlineStr">
        <is>
          <t>Up to ₹50 crore (Schedule to the Act, item 7: breach of any other provision)</t>
        </is>
      </c>
      <c r="N30" s="10" t="inlineStr">
        <is>
          <t>Name the contact person. Put the details into every reply template.</t>
        </is>
      </c>
      <c r="O30" s="10" t="inlineStr">
        <is>
          <t>Contact details in the website and app footer and in every reply template.</t>
        </is>
      </c>
      <c r="P30" s="10" t="inlineStr">
        <is>
          <t>Screenshots; copies of reply templates.</t>
        </is>
      </c>
      <c r="Q30" s="12" t="n">
        <v>2</v>
      </c>
      <c r="R30" s="13" t="inlineStr">
        <is>
          <t>Not assessed</t>
        </is>
      </c>
      <c r="S30" s="13" t="n"/>
      <c r="T30" s="13" t="n"/>
      <c r="U30" s="14" t="n"/>
      <c r="V30" s="15">
        <f>IF(OR(R30="In place",R30="Not applicable to this organisation"),"Closed",IF(Q30=3,"Priority 1",IF(Q30=2,"Priority 2","Priority 3")))</f>
        <v/>
      </c>
      <c r="W30" s="16">
        <f>IF(L30="","",MAX(0,L30-TODAY()))</f>
        <v/>
      </c>
    </row>
    <row r="31" ht="120" customHeight="1">
      <c r="A31" s="4" t="inlineStr">
        <is>
          <t>DPDP-Act-S11(1)</t>
        </is>
      </c>
      <c r="B31" s="10" t="inlineStr">
        <is>
          <t>Rights and grievances</t>
        </is>
      </c>
      <c r="C31" s="10" t="inlineStr">
        <is>
          <t>On request, give the person a summary of the personal data being processed and the processing done, and the identities of other Data Fiduciaries and Data Processors it has been shared with.</t>
        </is>
      </c>
      <c r="D31" s="10" t="inlineStr">
        <is>
          <t>Digital Personal Data Protection Act, 2023, Section 11(1)</t>
        </is>
      </c>
      <c r="E31" s="10" t="inlineStr">
        <is>
          <t>Act s.11(1)(a) to (c), s.11(2); Rules 14(1), 14(2), 14(5)</t>
        </is>
      </c>
      <c r="F31" s="10" t="inlineStr">
        <is>
          <t>DPDP-Act-S12; DPDP-Act-S13</t>
        </is>
      </c>
      <c r="G31" s="11">
        <f>HYPERLINK("#'Legal Text'!A37","Read the exact text")</f>
        <v/>
      </c>
      <c r="H31" s="10" t="inlineStr">
        <is>
          <t>Annex A 5.34 (privacy and protection of personal information)</t>
        </is>
      </c>
      <c r="I31" s="10" t="inlineStr">
        <is>
          <t>All Data Fiduciaries</t>
        </is>
      </c>
      <c r="J31" s="10" t="inlineStr">
        <is>
          <t>Request for access</t>
        </is>
      </c>
      <c r="K31" s="10" t="inlineStr">
        <is>
          <t>The Rules set no specific period; grievances must be answered within the published period of not more than 90 days</t>
        </is>
      </c>
      <c r="L31" s="5" t="n">
        <v>46520</v>
      </c>
      <c r="M31" s="10" t="inlineStr">
        <is>
          <t>Up to ₹50 crore (Schedule to the Act, item 7: breach of any other provision)</t>
        </is>
      </c>
      <c r="N31" s="10" t="inlineStr">
        <is>
          <t>Set an internal time limit and an identity check procedure.</t>
        </is>
      </c>
      <c r="O31" s="10" t="inlineStr">
        <is>
          <t>A map of each person's data across systems to produce the summary; a register of sharing.</t>
        </is>
      </c>
      <c r="P31" s="10" t="inlineStr">
        <is>
          <t>Request log with dates and replies.</t>
        </is>
      </c>
      <c r="Q31" s="12" t="n">
        <v>3</v>
      </c>
      <c r="R31" s="13" t="inlineStr">
        <is>
          <t>Not assessed</t>
        </is>
      </c>
      <c r="S31" s="13" t="n"/>
      <c r="T31" s="13" t="n"/>
      <c r="U31" s="14" t="n"/>
      <c r="V31" s="15">
        <f>IF(OR(R31="In place",R31="Not applicable to this organisation"),"Closed",IF(Q31=3,"Priority 1",IF(Q31=2,"Priority 2","Priority 3")))</f>
        <v/>
      </c>
      <c r="W31" s="16">
        <f>IF(L31="","",MAX(0,L31-TODAY()))</f>
        <v/>
      </c>
    </row>
    <row r="32" ht="120" customHeight="1">
      <c r="A32" s="4" t="inlineStr">
        <is>
          <t>DPDP-Act-S12</t>
        </is>
      </c>
      <c r="B32" s="10" t="inlineStr">
        <is>
          <t>Rights and grievances</t>
        </is>
      </c>
      <c r="C32" s="10" t="inlineStr">
        <is>
          <t>The person may ask for correction, completion, updating and erasure. On an erasure request, erase her data unless it is needed for the specified purpose or to comply with the law.</t>
        </is>
      </c>
      <c r="D32" s="10" t="inlineStr">
        <is>
          <t>Digital Personal Data Protection Act, 2023, Section 12(1) to 12(3)</t>
        </is>
      </c>
      <c r="E32" s="10" t="inlineStr">
        <is>
          <t>Act s.12(1), s.12(2)(a) to (c), s.12(3)</t>
        </is>
      </c>
      <c r="F32" s="10" t="inlineStr">
        <is>
          <t>DPDP-Act-S11(1); DPDP-Act-S8(7)</t>
        </is>
      </c>
      <c r="G32" s="11">
        <f>HYPERLINK("#'Legal Text'!A40","Read the exact text")</f>
        <v/>
      </c>
      <c r="H32" s="10" t="inlineStr">
        <is>
          <t>Annex A 8.10 (deleting information when no longer required); 5.34 (privacy and protection of personal information)</t>
        </is>
      </c>
      <c r="I32" s="10" t="inlineStr">
        <is>
          <t>All Data Fiduciaries</t>
        </is>
      </c>
      <c r="J32" s="10" t="inlineStr">
        <is>
          <t>Request for correction or erasure</t>
        </is>
      </c>
      <c r="K32" s="10" t="inlineStr">
        <is>
          <t>The Rules set no specific period; grievances must be answered within the published period of not more than 90 days</t>
        </is>
      </c>
      <c r="L32" s="5" t="n">
        <v>46520</v>
      </c>
      <c r="M32" s="10" t="inlineStr">
        <is>
          <t>Up to ₹50 crore (Schedule to the Act, item 7: breach of any other provision)</t>
        </is>
      </c>
      <c r="N32" s="10" t="inlineStr">
        <is>
          <t>Decision rules for when retention overrides erasure, with the legal reason recorded.</t>
        </is>
      </c>
      <c r="O32" s="10" t="inlineStr">
        <is>
          <t>Erasure workflow reaching every copy. Reply to the customer stating what is erased, what is kept, why and until when (recommended practice), generated from the retention register.</t>
        </is>
      </c>
      <c r="P32" s="10" t="inlineStr">
        <is>
          <t>Request log; erasure evidence; copies of replies sent.</t>
        </is>
      </c>
      <c r="Q32" s="12" t="n">
        <v>3</v>
      </c>
      <c r="R32" s="13" t="inlineStr">
        <is>
          <t>Not assessed</t>
        </is>
      </c>
      <c r="S32" s="13" t="n"/>
      <c r="T32" s="13" t="n"/>
      <c r="U32" s="14" t="n"/>
      <c r="V32" s="15">
        <f>IF(OR(R32="In place",R32="Not applicable to this organisation"),"Closed",IF(Q32=3,"Priority 1",IF(Q32=2,"Priority 2","Priority 3")))</f>
        <v/>
      </c>
      <c r="W32" s="16">
        <f>IF(L32="","",MAX(0,L32-TODAY()))</f>
        <v/>
      </c>
    </row>
    <row r="33" ht="120" customHeight="1">
      <c r="A33" s="4" t="inlineStr">
        <is>
          <t>DPDP-Act-S13</t>
        </is>
      </c>
      <c r="B33" s="10" t="inlineStr">
        <is>
          <t>Rights and grievances</t>
        </is>
      </c>
      <c r="C33" s="10" t="inlineStr">
        <is>
          <t>Provide an effective way to raise grievances and reply within the period published on the website or app, which must not exceed 90 days. The person must use this route before going to the Data Protection Board.</t>
        </is>
      </c>
      <c r="D33" s="10" t="inlineStr">
        <is>
          <t>Digital Personal Data Protection Act, 2023, Section 13</t>
        </is>
      </c>
      <c r="E33" s="10" t="inlineStr">
        <is>
          <t>Act s.8(10), s.13(1) to s.13(3); Rules 14(3)</t>
        </is>
      </c>
      <c r="F33" s="10" t="inlineStr">
        <is>
          <t>DPDP-Act-S11(1)</t>
        </is>
      </c>
      <c r="G33" s="11">
        <f>HYPERLINK("#'Legal Text'!A42","Read the exact text")</f>
        <v/>
      </c>
      <c r="H33" s="10" t="inlineStr">
        <is>
          <t>Annex A 5.34 (privacy and protection of personal information)</t>
        </is>
      </c>
      <c r="I33" s="10" t="inlineStr">
        <is>
          <t>All Data Fiduciaries; Consent Managers</t>
        </is>
      </c>
      <c r="J33" s="10" t="inlineStr">
        <is>
          <t>Grievance received</t>
        </is>
      </c>
      <c r="K33" s="10" t="inlineStr">
        <is>
          <t>Within the published period, not more than 90 days</t>
        </is>
      </c>
      <c r="L33" s="5" t="n">
        <v>46520</v>
      </c>
      <c r="M33" s="10" t="inlineStr">
        <is>
          <t>Up to ₹50 crore (Schedule to the Act, item 7: breach of any other provision)</t>
        </is>
      </c>
      <c r="N33" s="10" t="inlineStr">
        <is>
          <t>Grievance procedure; published reply period; escalation route.</t>
        </is>
      </c>
      <c r="O33" s="10" t="inlineStr">
        <is>
          <t>Ticketing with time limits and reports of ageing tickets.</t>
        </is>
      </c>
      <c r="P33" s="10" t="inlineStr">
        <is>
          <t>Time-limit reports; samples of closed tickets.</t>
        </is>
      </c>
      <c r="Q33" s="12" t="n">
        <v>2</v>
      </c>
      <c r="R33" s="13" t="inlineStr">
        <is>
          <t>Not assessed</t>
        </is>
      </c>
      <c r="S33" s="13" t="n"/>
      <c r="T33" s="13" t="n"/>
      <c r="U33" s="14" t="n"/>
      <c r="V33" s="15">
        <f>IF(OR(R33="In place",R33="Not applicable to this organisation"),"Closed",IF(Q33=3,"Priority 1",IF(Q33=2,"Priority 2","Priority 3")))</f>
        <v/>
      </c>
      <c r="W33" s="16">
        <f>IF(L33="","",MAX(0,L33-TODAY()))</f>
        <v/>
      </c>
    </row>
    <row r="34" ht="120" customHeight="1">
      <c r="A34" s="4" t="inlineStr">
        <is>
          <t>DPDP-Act-S14(1)</t>
        </is>
      </c>
      <c r="B34" s="10" t="inlineStr">
        <is>
          <t>Rights and grievances</t>
        </is>
      </c>
      <c r="C34" s="10" t="inlineStr">
        <is>
          <t>The person may nominate another individual to exercise her rights if she dies or becomes incapable.</t>
        </is>
      </c>
      <c r="D34" s="10" t="inlineStr">
        <is>
          <t>Digital Personal Data Protection Act, 2023, Section 14(1)</t>
        </is>
      </c>
      <c r="E34" s="10" t="inlineStr">
        <is>
          <t>Act s.14(1), s.14(2); Rules 14(4)</t>
        </is>
      </c>
      <c r="F34" s="10" t="inlineStr">
        <is>
          <t>DPDP-Act-S11(1)</t>
        </is>
      </c>
      <c r="G34" s="11">
        <f>HYPERLINK("#'Legal Text'!A45","Read the exact text")</f>
        <v/>
      </c>
      <c r="H34" s="10" t="inlineStr">
        <is>
          <t>Annex A 5.34 (privacy and protection of personal information)</t>
        </is>
      </c>
      <c r="I34" s="10" t="inlineStr">
        <is>
          <t>All Data Fiduciaries</t>
        </is>
      </c>
      <c r="J34" s="10" t="inlineStr">
        <is>
          <t>Nomination request</t>
        </is>
      </c>
      <c r="K34" s="10" t="inlineStr">
        <is>
          <t>Ongoing</t>
        </is>
      </c>
      <c r="L34" s="5" t="n">
        <v>46520</v>
      </c>
      <c r="M34" s="10" t="inlineStr">
        <is>
          <t>Up to ₹50 crore (Schedule to the Act, item 7: breach of any other provision)</t>
        </is>
      </c>
      <c r="N34" s="10" t="inlineStr">
        <is>
          <t>Nomination procedure in the terms of service.</t>
        </is>
      </c>
      <c r="O34" s="10" t="inlineStr">
        <is>
          <t>Nominee field and a verification step.</t>
        </is>
      </c>
      <c r="P34" s="10" t="inlineStr">
        <is>
          <t>Nomination records.</t>
        </is>
      </c>
      <c r="Q34" s="12" t="n">
        <v>1</v>
      </c>
      <c r="R34" s="13" t="inlineStr">
        <is>
          <t>Not assessed</t>
        </is>
      </c>
      <c r="S34" s="13" t="n"/>
      <c r="T34" s="13" t="n"/>
      <c r="U34" s="14" t="n"/>
      <c r="V34" s="15">
        <f>IF(OR(R34="In place",R34="Not applicable to this organisation"),"Closed",IF(Q34=3,"Priority 1",IF(Q34=2,"Priority 2","Priority 3")))</f>
        <v/>
      </c>
      <c r="W34" s="16">
        <f>IF(L34="","",MAX(0,L34-TODAY()))</f>
        <v/>
      </c>
    </row>
    <row r="35" ht="120" customHeight="1">
      <c r="A35" s="4" t="inlineStr">
        <is>
          <t>DPDP-Act-S9(1)</t>
        </is>
      </c>
      <c r="B35" s="10" t="inlineStr">
        <is>
          <t>Children and lawful guardians</t>
        </is>
      </c>
      <c r="C35" s="10" t="inlineStr">
        <is>
          <t>Before processing any personal data of a child (under 18), obtain the verifiable consent of a parent, after checking that the parent is an identifiable adult, using the Data Fiduciary's own reliable records or identity and age details or a token from an authorised entity such as DigiLocker.</t>
        </is>
      </c>
      <c r="D35" s="10" t="inlineStr">
        <is>
          <t>Digital Personal Data Protection Act, 2023, Section 9(1)</t>
        </is>
      </c>
      <c r="E35" s="10" t="inlineStr">
        <is>
          <t>Act s.9(1); Rules 10(1), 10(2)</t>
        </is>
      </c>
      <c r="F35" s="10" t="inlineStr">
        <is>
          <t>DPDP-Rule-11(1); DPDP-Act-S9(3)</t>
        </is>
      </c>
      <c r="G35" s="11">
        <f>HYPERLINK("#'Legal Text'!A46","Read the exact text")</f>
        <v/>
      </c>
      <c r="H35" s="10" t="inlineStr">
        <is>
          <t>Annex A 5.34 (privacy and protection of personal information)</t>
        </is>
      </c>
      <c r="I35" s="10" t="inlineStr">
        <is>
          <t>Data Fiduciaries that process children's personal data</t>
        </is>
      </c>
      <c r="J35" s="10" t="inlineStr">
        <is>
          <t>A child's account is created or a child's data is collected</t>
        </is>
      </c>
      <c r="K35" s="10" t="inlineStr">
        <is>
          <t>Before processing</t>
        </is>
      </c>
      <c r="L35" s="5" t="n">
        <v>46520</v>
      </c>
      <c r="M35" s="10" t="inlineStr">
        <is>
          <t>Up to ₹200 crore (Schedule to the Act, item 3: Section 9)</t>
        </is>
      </c>
      <c r="N35" s="10" t="inlineStr">
        <is>
          <t>Age assurance policy; decide which route under Rule 10 applies.</t>
        </is>
      </c>
      <c r="O35" s="10" t="inlineStr">
        <is>
          <t>Age check at sign-up; parent verification step; consent record linking the parent and the child.</t>
        </is>
      </c>
      <c r="P35" s="10" t="inlineStr">
        <is>
          <t>Verification records.</t>
        </is>
      </c>
      <c r="Q35" s="12" t="n">
        <v>3</v>
      </c>
      <c r="R35" s="13" t="inlineStr">
        <is>
          <t>Not assessed</t>
        </is>
      </c>
      <c r="S35" s="13" t="n"/>
      <c r="T35" s="13" t="n"/>
      <c r="U35" s="14" t="n"/>
      <c r="V35" s="15">
        <f>IF(OR(R35="In place",R35="Not applicable to this organisation"),"Closed",IF(Q35=3,"Priority 1",IF(Q35=2,"Priority 2","Priority 3")))</f>
        <v/>
      </c>
      <c r="W35" s="16">
        <f>IF(L35="","",MAX(0,L35-TODAY()))</f>
        <v/>
      </c>
    </row>
    <row r="36" ht="120" customHeight="1">
      <c r="A36" s="4" t="inlineStr">
        <is>
          <t>DPDP-Act-S9(3)</t>
        </is>
      </c>
      <c r="B36" s="10" t="inlineStr">
        <is>
          <t>Children and lawful guardians</t>
        </is>
      </c>
      <c r="C36" s="10" t="inlineStr">
        <is>
          <t>Do not process a child's data in a way likely to harm her well-being. Do not track, behaviourally monitor, or target advertising at children, unless an exemption in the Fourth Schedule applies (for example healthcare, education or safety).</t>
        </is>
      </c>
      <c r="D36" s="10" t="inlineStr">
        <is>
          <t>Digital Personal Data Protection Act, 2023, Section 9(3)</t>
        </is>
      </c>
      <c r="E36" s="10" t="inlineStr">
        <is>
          <t>Act s.9(2), s.9(3), s.9(4), s.9(5); Rules 12(1) to 12(3); Fourth Schedule, Parts A and B</t>
        </is>
      </c>
      <c r="F36" s="10" t="inlineStr">
        <is>
          <t>DPDP-Act-S9(1)</t>
        </is>
      </c>
      <c r="G36" s="11">
        <f>HYPERLINK("#'Legal Text'!A48","Read the exact text")</f>
        <v/>
      </c>
      <c r="H36" s="10" t="inlineStr">
        <is>
          <t>Annex A 5.34 (privacy and protection of personal information)</t>
        </is>
      </c>
      <c r="I36" s="10" t="inlineStr">
        <is>
          <t>Data Fiduciaries that process children's personal data</t>
        </is>
      </c>
      <c r="J36" s="10" t="inlineStr">
        <is>
          <t>Always</t>
        </is>
      </c>
      <c r="K36" s="10" t="inlineStr">
        <is>
          <t>Ongoing</t>
        </is>
      </c>
      <c r="L36" s="5" t="n">
        <v>46520</v>
      </c>
      <c r="M36" s="10" t="inlineStr">
        <is>
          <t>Up to ₹200 crore (Schedule to the Act, item 3: Section 9)</t>
        </is>
      </c>
      <c r="N36" s="10" t="inlineStr">
        <is>
          <t>Document any Fourth Schedule exemption relied on.</t>
        </is>
      </c>
      <c r="O36" s="10" t="inlineStr">
        <is>
          <t>Switch off targeted advertising and profiling for child accounts.</t>
        </is>
      </c>
      <c r="P36" s="10" t="inlineStr">
        <is>
          <t>Advertising platform settings; exemption note.</t>
        </is>
      </c>
      <c r="Q36" s="12" t="n">
        <v>3</v>
      </c>
      <c r="R36" s="13" t="inlineStr">
        <is>
          <t>Not assessed</t>
        </is>
      </c>
      <c r="S36" s="13" t="n"/>
      <c r="T36" s="13" t="n"/>
      <c r="U36" s="14" t="n"/>
      <c r="V36" s="15">
        <f>IF(OR(R36="In place",R36="Not applicable to this organisation"),"Closed",IF(Q36=3,"Priority 1",IF(Q36=2,"Priority 2","Priority 3")))</f>
        <v/>
      </c>
      <c r="W36" s="16">
        <f>IF(L36="","",MAX(0,L36-TODAY()))</f>
        <v/>
      </c>
    </row>
    <row r="37" ht="120" customHeight="1">
      <c r="A37" s="4" t="inlineStr">
        <is>
          <t>DPDP-Rule-11(1)</t>
        </is>
      </c>
      <c r="B37" s="10" t="inlineStr">
        <is>
          <t>Children and lawful guardians</t>
        </is>
      </c>
      <c r="C37" s="10" t="inlineStr">
        <is>
          <t>For a person with disability who has a lawful guardian, verify that the guardian was appointed by a court, a designated authority or a local level committee under the law on guardianship.</t>
        </is>
      </c>
      <c r="D37" s="10" t="inlineStr">
        <is>
          <t>Digital Personal Data Protection Rules, 2025, Rule 11(1)</t>
        </is>
      </c>
      <c r="E37" s="10" t="inlineStr">
        <is>
          <t>Rules 11(1), 11(2)</t>
        </is>
      </c>
      <c r="F37" s="10" t="inlineStr">
        <is>
          <t>DPDP-Act-S9(1)</t>
        </is>
      </c>
      <c r="G37" s="11">
        <f>HYPERLINK("#'Legal Text'!A50","Read the exact text")</f>
        <v/>
      </c>
      <c r="H37" s="10" t="inlineStr">
        <is>
          <t>Annex A 5.34 (privacy and protection of personal information)</t>
        </is>
      </c>
      <c r="I37" s="10" t="inlineStr">
        <is>
          <t>Data Fiduciaries serving such persons</t>
        </is>
      </c>
      <c r="J37" s="10" t="inlineStr">
        <is>
          <t>Consent given by a guardian</t>
        </is>
      </c>
      <c r="K37" s="10" t="inlineStr">
        <is>
          <t>Before processing</t>
        </is>
      </c>
      <c r="L37" s="5" t="n">
        <v>46520</v>
      </c>
      <c r="M37" s="10" t="inlineStr">
        <is>
          <t>Up to ₹200 crore (Schedule to the Act, item 3: Section 9)</t>
        </is>
      </c>
      <c r="N37" s="10" t="inlineStr">
        <is>
          <t>Guardian verification procedure.</t>
        </is>
      </c>
      <c r="O37" s="10" t="inlineStr">
        <is>
          <t>Document upload and verification step.</t>
        </is>
      </c>
      <c r="P37" s="10" t="inlineStr">
        <is>
          <t>Verification records.</t>
        </is>
      </c>
      <c r="Q37" s="12" t="n">
        <v>2</v>
      </c>
      <c r="R37" s="13" t="inlineStr">
        <is>
          <t>Not assessed</t>
        </is>
      </c>
      <c r="S37" s="13" t="n"/>
      <c r="T37" s="13" t="n"/>
      <c r="U37" s="14" t="n"/>
      <c r="V37" s="15">
        <f>IF(OR(R37="In place",R37="Not applicable to this organisation"),"Closed",IF(Q37=3,"Priority 1",IF(Q37=2,"Priority 2","Priority 3")))</f>
        <v/>
      </c>
      <c r="W37" s="16">
        <f>IF(L37="","",MAX(0,L37-TODAY()))</f>
        <v/>
      </c>
    </row>
    <row r="38" ht="120" customHeight="1">
      <c r="A38" s="4" t="inlineStr">
        <is>
          <t>DPDP-Act-S10(2)</t>
        </is>
      </c>
      <c r="B38" s="10" t="inlineStr">
        <is>
          <t>Significant Data Fiduciary</t>
        </is>
      </c>
      <c r="C38" s="10" t="inlineStr">
        <is>
          <t>If notified as a Significant Data Fiduciary: appoint a Data Protection Officer based in India and answerable to the board of directors; appoint an independent data auditor; carry out periodic Data Protection Impact Assessments and audits.</t>
        </is>
      </c>
      <c r="D38" s="10" t="inlineStr">
        <is>
          <t>Digital Personal Data Protection Act, 2023, Section 10(2)</t>
        </is>
      </c>
      <c r="E38" s="10" t="inlineStr">
        <is>
          <t>Act s.10(1)(a) to (f), s.10(2)(a) to (c)</t>
        </is>
      </c>
      <c r="F38" s="10" t="inlineStr">
        <is>
          <t>DPDP-Rule-13</t>
        </is>
      </c>
      <c r="G38" s="11">
        <f>HYPERLINK("#'Legal Text'!A51","Read the exact text")</f>
        <v/>
      </c>
      <c r="H38" s="10" t="inlineStr">
        <is>
          <t>Annex A 5.2 (security roles and responsibilities); 5.35 (independent review of information security); 5.34 (privacy and protection of personal information)</t>
        </is>
      </c>
      <c r="I38" s="10" t="inlineStr">
        <is>
          <t>Only Data Fiduciaries notified as Significant Data Fiduciaries</t>
        </is>
      </c>
      <c r="J38" s="10" t="inlineStr">
        <is>
          <t>Notification by the Central Government</t>
        </is>
      </c>
      <c r="K38" s="10" t="inlineStr">
        <is>
          <t>From notification</t>
        </is>
      </c>
      <c r="L38" s="5" t="n">
        <v>46520</v>
      </c>
      <c r="M38" s="10" t="inlineStr">
        <is>
          <t>Up to ₹150 crore (Schedule to the Act, item 4: Section 10)</t>
        </is>
      </c>
      <c r="N38" s="10" t="inlineStr">
        <is>
          <t>Watch for notification; plan the Data Protection Officer and auditor appointments in advance.</t>
        </is>
      </c>
      <c r="O38" s="10" t="inlineStr">
        <is>
          <t>Impact assessment tooling fed by the data inventory.</t>
        </is>
      </c>
      <c r="P38" s="10" t="inlineStr">
        <is>
          <t>Appointment letters; impact assessment reports.</t>
        </is>
      </c>
      <c r="Q38" s="12" t="n">
        <v>2</v>
      </c>
      <c r="R38" s="13" t="inlineStr">
        <is>
          <t>Not assessed</t>
        </is>
      </c>
      <c r="S38" s="13" t="n"/>
      <c r="T38" s="13" t="n"/>
      <c r="U38" s="14" t="n"/>
      <c r="V38" s="15">
        <f>IF(OR(R38="In place",R38="Not applicable to this organisation"),"Closed",IF(Q38=3,"Priority 1",IF(Q38=2,"Priority 2","Priority 3")))</f>
        <v/>
      </c>
      <c r="W38" s="16">
        <f>IF(L38="","",MAX(0,L38-TODAY()))</f>
        <v/>
      </c>
    </row>
    <row r="39" ht="120" customHeight="1">
      <c r="A39" s="4" t="inlineStr">
        <is>
          <t>DPDP-Rule-13</t>
        </is>
      </c>
      <c r="B39" s="10" t="inlineStr">
        <is>
          <t>Significant Data Fiduciary</t>
        </is>
      </c>
      <c r="C39" s="10" t="inlineStr">
        <is>
          <t>If notified: carry out an impact assessment and an audit every twelve months from notification; send significant observations to the Data Protection Board; check that algorithmic software does not put people's rights at risk; keep data specified by the Government inside India.</t>
        </is>
      </c>
      <c r="D39" s="10" t="inlineStr">
        <is>
          <t>Digital Personal Data Protection Rules, 2025, Rule 13(1) to 13(4)</t>
        </is>
      </c>
      <c r="E39" s="10" t="inlineStr">
        <is>
          <t>Rules 13(1) to 13(5)</t>
        </is>
      </c>
      <c r="F39" s="10" t="inlineStr">
        <is>
          <t>DPDP-Act-S10(2)</t>
        </is>
      </c>
      <c r="G39" s="11">
        <f>HYPERLINK("#'Legal Text'!A52","Read the exact text")</f>
        <v/>
      </c>
      <c r="H39" s="10" t="inlineStr">
        <is>
          <t>Annex A 5.35 (independent review); 5.23 (use of cloud services); 5.31 (legal and regulatory requirements)</t>
        </is>
      </c>
      <c r="I39" s="10" t="inlineStr">
        <is>
          <t>Only Data Fiduciaries notified as Significant Data Fiduciaries</t>
        </is>
      </c>
      <c r="J39" s="10" t="inlineStr">
        <is>
          <t>Notification by the Central Government</t>
        </is>
      </c>
      <c r="K39" s="10" t="inlineStr">
        <is>
          <t>Every twelve months</t>
        </is>
      </c>
      <c r="L39" s="5" t="n">
        <v>46520</v>
      </c>
      <c r="M39" s="10" t="inlineStr">
        <is>
          <t>Up to ₹150 crore (Schedule to the Act, item 4: Section 10)</t>
        </is>
      </c>
      <c r="N39" s="10" t="inlineStr">
        <is>
          <t>Annual calendar for the impact assessment and audit; review of algorithmic risk.</t>
        </is>
      </c>
      <c r="O39" s="10" t="inlineStr">
        <is>
          <t>Controls that keep Government-specified data in Indian regions.</t>
        </is>
      </c>
      <c r="P39" s="10" t="inlineStr">
        <is>
          <t>Audit report; submission to the Board; evidence of data location.</t>
        </is>
      </c>
      <c r="Q39" s="12" t="n">
        <v>2</v>
      </c>
      <c r="R39" s="13" t="inlineStr">
        <is>
          <t>Not assessed</t>
        </is>
      </c>
      <c r="S39" s="13" t="n"/>
      <c r="T39" s="13" t="n"/>
      <c r="U39" s="14" t="n"/>
      <c r="V39" s="15">
        <f>IF(OR(R39="In place",R39="Not applicable to this organisation"),"Closed",IF(Q39=3,"Priority 1",IF(Q39=2,"Priority 2","Priority 3")))</f>
        <v/>
      </c>
      <c r="W39" s="16">
        <f>IF(L39="","",MAX(0,L39-TODAY()))</f>
        <v/>
      </c>
    </row>
    <row r="40" ht="120" customHeight="1">
      <c r="A40" s="4" t="inlineStr">
        <is>
          <t>DPDP-Act-S16</t>
        </is>
      </c>
      <c r="B40" s="10" t="inlineStr">
        <is>
          <t>Transfer outside India</t>
        </is>
      </c>
      <c r="C40" s="10" t="inlineStr">
        <is>
          <t>Transfers outside India are allowed unless the Government restricts a country by notification. Meet any Government requirement on making data available to a foreign State. Stricter sector laws still apply.</t>
        </is>
      </c>
      <c r="D40" s="10" t="inlineStr">
        <is>
          <t>Digital Personal Data Protection Act, 2023, Section 16</t>
        </is>
      </c>
      <c r="E40" s="10" t="inlineStr">
        <is>
          <t>Act s.16(1), s.16(2); Rules 15</t>
        </is>
      </c>
      <c r="F40" s="10" t="inlineStr">
        <is>
          <t>DPDP-Act-S38</t>
        </is>
      </c>
      <c r="G40" s="11">
        <f>HYPERLINK("#'Legal Text'!A53","Read the exact text")</f>
        <v/>
      </c>
      <c r="H40" s="10" t="inlineStr">
        <is>
          <t>Annex A 5.14 (information transfer); 5.23 (use of cloud services); 5.31 (legal and regulatory requirements)</t>
        </is>
      </c>
      <c r="I40" s="10" t="inlineStr">
        <is>
          <t>All Data Fiduciaries transferring data outside India</t>
        </is>
      </c>
      <c r="J40" s="10" t="inlineStr">
        <is>
          <t>Transfer outside India</t>
        </is>
      </c>
      <c r="K40" s="10" t="inlineStr">
        <is>
          <t>Before the transfer</t>
        </is>
      </c>
      <c r="L40" s="5" t="n">
        <v>46520</v>
      </c>
      <c r="M40" s="10" t="inlineStr">
        <is>
          <t>Up to ₹50 crore (Schedule to the Act, item 7: breach of any other provision)</t>
        </is>
      </c>
      <c r="N40" s="10" t="inlineStr">
        <is>
          <t>Register of transfers by country and vendor; check sector rules (for example, the Reserve Bank of India's rules on payment data).</t>
        </is>
      </c>
      <c r="O40" s="10" t="inlineStr">
        <is>
          <t>Inventory of the regions where data is stored and processed.</t>
        </is>
      </c>
      <c r="P40" s="10" t="inlineStr">
        <is>
          <t>Transfer register; region configuration.</t>
        </is>
      </c>
      <c r="Q40" s="12" t="n">
        <v>2</v>
      </c>
      <c r="R40" s="13" t="inlineStr">
        <is>
          <t>Not assessed</t>
        </is>
      </c>
      <c r="S40" s="13" t="n"/>
      <c r="T40" s="13" t="n"/>
      <c r="U40" s="14" t="n"/>
      <c r="V40" s="15">
        <f>IF(OR(R40="In place",R40="Not applicable to this organisation"),"Closed",IF(Q40=3,"Priority 1",IF(Q40=2,"Priority 2","Priority 3")))</f>
        <v/>
      </c>
      <c r="W40" s="16">
        <f>IF(L40="","",MAX(0,L40-TODAY()))</f>
        <v/>
      </c>
    </row>
    <row r="41" ht="120" customHeight="1">
      <c r="A41" s="4" t="inlineStr">
        <is>
          <t>DPDP-Rule-23</t>
        </is>
      </c>
      <c r="B41" s="10" t="inlineStr">
        <is>
          <t>Government and Data Protection Board</t>
        </is>
      </c>
      <c r="C41" s="10" t="inlineStr">
        <is>
          <t>Provide information that the Government calls for, for the purposes in the Seventh Schedule, within the period given. The Government may direct that the person concerned is not told.</t>
        </is>
      </c>
      <c r="D41" s="10" t="inlineStr">
        <is>
          <t>Digital Personal Data Protection Rules, 2025, Rule 23(1) and 23(2)</t>
        </is>
      </c>
      <c r="E41" s="10" t="inlineStr">
        <is>
          <t>Act s.36; Rules 23(1) to 23(3); Seventh Schedule</t>
        </is>
      </c>
      <c r="F41" s="10" t="inlineStr">
        <is>
          <t>DPDP-Rule-8(3)</t>
        </is>
      </c>
      <c r="G41" s="11">
        <f>HYPERLINK("#'Legal Text'!A55","Read the exact text")</f>
        <v/>
      </c>
      <c r="H41" s="10" t="inlineStr">
        <is>
          <t>Annex A 5.5 (contact with authorities); 5.31 (legal and regulatory requirements)</t>
        </is>
      </c>
      <c r="I41" s="10" t="inlineStr">
        <is>
          <t>Data Fiduciaries and intermediaries</t>
        </is>
      </c>
      <c r="J41" s="10" t="inlineStr">
        <is>
          <t>A request from the Government</t>
        </is>
      </c>
      <c r="K41" s="10" t="inlineStr">
        <is>
          <t>Within the period stated in the request</t>
        </is>
      </c>
      <c r="L41" s="5" t="n">
        <v>46520</v>
      </c>
      <c r="M41" s="10" t="inlineStr">
        <is>
          <t>Up to ₹50 crore (Schedule to the Act, item 7: breach of any other provision)</t>
        </is>
      </c>
      <c r="N41" s="10" t="inlineStr">
        <is>
          <t>Procedure for Government requests, including confidentiality handling.</t>
        </is>
      </c>
      <c r="O41" s="10" t="inlineStr">
        <is>
          <t>Ability to retrieve retained data and logs (see DPDP-Rule-8(3)). Block automatic customer notices when a confidentiality direction applies.</t>
        </is>
      </c>
      <c r="P41" s="10" t="inlineStr">
        <is>
          <t>Register of requests.</t>
        </is>
      </c>
      <c r="Q41" s="12" t="n">
        <v>1</v>
      </c>
      <c r="R41" s="13" t="inlineStr">
        <is>
          <t>Not assessed</t>
        </is>
      </c>
      <c r="S41" s="13" t="n"/>
      <c r="T41" s="13" t="n"/>
      <c r="U41" s="14" t="n"/>
      <c r="V41" s="15">
        <f>IF(OR(R41="In place",R41="Not applicable to this organisation"),"Closed",IF(Q41=3,"Priority 1",IF(Q41=2,"Priority 2","Priority 3")))</f>
        <v/>
      </c>
      <c r="W41" s="16">
        <f>IF(L41="","",MAX(0,L41-TODAY()))</f>
        <v/>
      </c>
    </row>
    <row r="42" ht="120" customHeight="1">
      <c r="A42" s="4" t="inlineStr">
        <is>
          <t>DPDP-Act-S32</t>
        </is>
      </c>
      <c r="B42" s="10" t="inlineStr">
        <is>
          <t>Government and Data Protection Board</t>
        </is>
      </c>
      <c r="C42" s="10" t="inlineStr">
        <is>
          <t>The Data Protection Board can inquire, give directions and accept a voluntary undertaking, which bars proceedings on its contents; breaking the undertaking is itself a breach. Appeals against Board orders go to the Appellate Tribunal within 60 days.</t>
        </is>
      </c>
      <c r="D42" s="10" t="inlineStr">
        <is>
          <t>Digital Personal Data Protection Act, 2023, Section 32</t>
        </is>
      </c>
      <c r="E42" s="10" t="inlineStr">
        <is>
          <t>Act s.27, s.28, s.29, s.31, s.32(1) to s.32(5), s.33; Rules 22(1) to 22(3)</t>
        </is>
      </c>
      <c r="F42" s="10" t="inlineStr">
        <is>
          <t>None</t>
        </is>
      </c>
      <c r="G42" s="11">
        <f>HYPERLINK("#'Legal Text'!A57","Read the exact text")</f>
        <v/>
      </c>
      <c r="H42" s="10" t="inlineStr">
        <is>
          <t>Annex A 5.5 (contact with authorities); 5.31 (legal and regulatory requirements)</t>
        </is>
      </c>
      <c r="I42" s="10" t="inlineStr">
        <is>
          <t>All Data Fiduciaries</t>
        </is>
      </c>
      <c r="J42" s="10" t="inlineStr">
        <is>
          <t>An inquiry or order of the Board</t>
        </is>
      </c>
      <c r="K42" s="10" t="inlineStr">
        <is>
          <t>Appeal within 60 days of the order</t>
        </is>
      </c>
      <c r="L42" s="5" t="n">
        <v>46520</v>
      </c>
      <c r="M42" s="10" t="inlineStr">
        <is>
          <t>Up to the penalty applicable to the original breach (Schedule to the Act, item 6)</t>
        </is>
      </c>
      <c r="N42" s="10" t="inlineStr">
        <is>
          <t>Procedure for dealing with the Board; legal adviser identified in advance.</t>
        </is>
      </c>
      <c r="O42" s="10" t="inlineStr">
        <is>
          <t>Evidence retrievable when asked.</t>
        </is>
      </c>
      <c r="P42" s="10" t="inlineStr">
        <is>
          <t>Correspondence file.</t>
        </is>
      </c>
      <c r="Q42" s="12" t="n">
        <v>1</v>
      </c>
      <c r="R42" s="13" t="inlineStr">
        <is>
          <t>Not assessed</t>
        </is>
      </c>
      <c r="S42" s="13" t="n"/>
      <c r="T42" s="13" t="n"/>
      <c r="U42" s="14" t="n"/>
      <c r="V42" s="15">
        <f>IF(OR(R42="In place",R42="Not applicable to this organisation"),"Closed",IF(Q42=3,"Priority 1",IF(Q42=2,"Priority 2","Priority 3")))</f>
        <v/>
      </c>
      <c r="W42" s="16">
        <f>IF(L42="","",MAX(0,L42-TODAY()))</f>
        <v/>
      </c>
    </row>
    <row r="43" ht="120" customHeight="1">
      <c r="A43" s="4" t="inlineStr">
        <is>
          <t>DPDP-Act-S17(2)(b)</t>
        </is>
      </c>
      <c r="B43" s="10" t="inlineStr">
        <is>
          <t>Exemptions</t>
        </is>
      </c>
      <c r="C43" s="10" t="inlineStr">
        <is>
          <t>Processing for research, archiving or statistics is exempt if it follows the Second Schedule standards and the data is not used for decisions about a specific person.</t>
        </is>
      </c>
      <c r="D43" s="10" t="inlineStr">
        <is>
          <t>Digital Personal Data Protection Act, 2023, Section 17(2)(b)</t>
        </is>
      </c>
      <c r="E43" s="10" t="inlineStr">
        <is>
          <t>Act s.17(2)(b); Rules 16; Second Schedule (research part)</t>
        </is>
      </c>
      <c r="F43" s="10" t="inlineStr">
        <is>
          <t>DPDP-Act-S17(1)</t>
        </is>
      </c>
      <c r="G43" s="11">
        <f>HYPERLINK("#'Legal Text'!A60","Read the exact text")</f>
        <v/>
      </c>
      <c r="H43" s="10" t="inlineStr">
        <is>
          <t>Annex A 5.34 (privacy and protection of personal information); 8.11 (data masking)</t>
        </is>
      </c>
      <c r="I43" s="10" t="inlineStr">
        <is>
          <t>Data Fiduciaries doing research, archiving or statistics</t>
        </is>
      </c>
      <c r="J43" s="10" t="inlineStr">
        <is>
          <t>Relying on the exemption</t>
        </is>
      </c>
      <c r="K43" s="10" t="inlineStr">
        <is>
          <t>Before processing</t>
        </is>
      </c>
      <c r="L43" s="5" t="n">
        <v>46520</v>
      </c>
      <c r="M43" s="10" t="inlineStr">
        <is>
          <t>Not applicable while the exemption conditions are met</t>
        </is>
      </c>
      <c r="N43" s="10" t="inlineStr">
        <is>
          <t>Record the exemption and the standards met.</t>
        </is>
      </c>
      <c r="O43" s="10" t="inlineStr">
        <is>
          <t>Separate research datasets that are never reused for decisions about a person.</t>
        </is>
      </c>
      <c r="P43" s="10" t="inlineStr">
        <is>
          <t>Exemption note.</t>
        </is>
      </c>
      <c r="Q43" s="12" t="n">
        <v>1</v>
      </c>
      <c r="R43" s="13" t="inlineStr">
        <is>
          <t>Not assessed</t>
        </is>
      </c>
      <c r="S43" s="13" t="n"/>
      <c r="T43" s="13" t="n"/>
      <c r="U43" s="14" t="n"/>
      <c r="V43" s="15">
        <f>IF(OR(R43="In place",R43="Not applicable to this organisation"),"Closed",IF(Q43=3,"Priority 1",IF(Q43=2,"Priority 2","Priority 3")))</f>
        <v/>
      </c>
      <c r="W43" s="16">
        <f>IF(L43="","",MAX(0,L43-TODAY()))</f>
        <v/>
      </c>
    </row>
    <row r="44" ht="120" customHeight="1">
      <c r="A44" s="4" t="inlineStr">
        <is>
          <t>DPDP-Act-S17(1)</t>
        </is>
      </c>
      <c r="B44" s="10" t="inlineStr">
        <is>
          <t>Exemptions</t>
        </is>
      </c>
      <c r="C44" s="10" t="inlineStr">
        <is>
          <t>Most duties of the Act (Chapter II except s.8(1) and s.8(5), Chapter III and s.16) do not apply where processing is necessary for: enforcing a legal right or claim; courts, tribunals and regulators; preventing or investigating offences; contracts with foreign parties for data of people outside India; approved mergers and restructuring; or ascertaining the assets and liabilities of a person who has defaulted on a loan from a financial institution. The Government may also notify further exemptions (s.17(3) and s.17(5)).</t>
        </is>
      </c>
      <c r="D44" s="10" t="inlineStr">
        <is>
          <t>Digital Personal Data Protection Act, 2023, Section 17(1)</t>
        </is>
      </c>
      <c r="E44" s="10" t="inlineStr">
        <is>
          <t>Act s.17(1)(a) to (f), s.17(3), s.17(5)</t>
        </is>
      </c>
      <c r="F44" s="10" t="inlineStr">
        <is>
          <t>DPDP-Act-S17(2)(b); DPDP-Act-S8(5)</t>
        </is>
      </c>
      <c r="G44" s="11">
        <f>HYPERLINK("#'Legal Text'!A62","Read the exact text")</f>
        <v/>
      </c>
      <c r="H44" s="10" t="inlineStr">
        <is>
          <t>Annex A 5.31 (legal and regulatory requirements); 5.34 (privacy and protection of personal information)</t>
        </is>
      </c>
      <c r="I44" s="10" t="inlineStr">
        <is>
          <t>Data Fiduciaries relying on an exemption</t>
        </is>
      </c>
      <c r="J44" s="10" t="inlineStr">
        <is>
          <t>Relying on an exemption</t>
        </is>
      </c>
      <c r="K44" s="10" t="inlineStr">
        <is>
          <t>Before processing. Commencement date of s.17 to be confirmed from the notification</t>
        </is>
      </c>
      <c r="L44" s="5" t="n"/>
      <c r="M44" s="10" t="inlineStr">
        <is>
          <t>Not applicable while the exemption conditions are met; security (s.8(5)) and accountability (s.8(1)) still apply</t>
        </is>
      </c>
      <c r="N44" s="10" t="inlineStr">
        <is>
          <t>Record each exemption relied on, the clause, and why its conditions are met. Review any Government notification under s.17(3) or s.17(5).</t>
        </is>
      </c>
      <c r="O44" s="10" t="inlineStr">
        <is>
          <t>Label the data flows that rely on an exemption so that consent and rights processes exclude them only where the exemption allows.</t>
        </is>
      </c>
      <c r="P44" s="10" t="inlineStr">
        <is>
          <t>Exemption register with the reasoning for each entry.</t>
        </is>
      </c>
      <c r="Q44" s="12" t="n">
        <v>2</v>
      </c>
      <c r="R44" s="13" t="inlineStr">
        <is>
          <t>Not assessed</t>
        </is>
      </c>
      <c r="S44" s="13" t="n"/>
      <c r="T44" s="13" t="n"/>
      <c r="U44" s="14" t="n"/>
      <c r="V44" s="15">
        <f>IF(OR(R44="In place",R44="Not applicable to this organisation"),"Closed",IF(Q44=3,"Priority 1",IF(Q44=2,"Priority 2","Priority 3")))</f>
        <v/>
      </c>
      <c r="W44" s="16">
        <f>IF(L44="","",MAX(0,L44-TODAY()))</f>
        <v/>
      </c>
    </row>
  </sheetData>
  <autoFilter ref="A4:W44"/>
  <conditionalFormatting sqref="R5:R44">
    <cfRule type="cellIs" priority="1" operator="equal" dxfId="0">
      <formula>"In place"</formula>
    </cfRule>
    <cfRule type="cellIs" priority="2" operator="equal" dxfId="1">
      <formula>"Partially in place"</formula>
    </cfRule>
    <cfRule type="cellIs" priority="3" operator="equal" dxfId="2">
      <formula>"Not started"</formula>
    </cfRule>
  </conditionalFormatting>
  <conditionalFormatting sqref="V5:V44">
    <cfRule type="cellIs" priority="4" operator="equal" dxfId="3">
      <formula>"Priority 1"</formula>
    </cfRule>
    <cfRule type="cellIs" priority="5" operator="equal" dxfId="4">
      <formula>"Closed"</formula>
    </cfRule>
  </conditionalFormatting>
  <dataValidations count="2">
    <dataValidation sqref="R5:R44" showDropDown="0" showInputMessage="0" showErrorMessage="0" allowBlank="1" type="list">
      <formula1>"Not assessed,Not started,Partially in place,In place,Not applicable to this organisation"</formula1>
    </dataValidation>
    <dataValidation sqref="Q5:Q44" showDropDown="0" showInputMessage="0" showErrorMessage="0" allowBlank="0" type="whole" operator="between">
      <formula1>1</formula1>
      <formula2>3</formula2>
    </dataValidation>
  </dataValidations>
  <pageMargins left="0.75" right="0.75" top="1" bottom="1" header="0.5" footer="0.5"/>
</worksheet>
</file>

<file path=xl/worksheets/sheet3.xml><?xml version="1.0" encoding="utf-8"?>
<worksheet xmlns="http://schemas.openxmlformats.org/spreadsheetml/2006/main">
  <sheetPr>
    <tabColor rgb="007F3FBF"/>
    <outlinePr summaryBelow="1" summaryRight="1"/>
    <pageSetUpPr/>
  </sheetPr>
  <dimension ref="A1:D6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110" customWidth="1" min="3" max="3"/>
    <col width="34" customWidth="1" min="4" max="4"/>
  </cols>
  <sheetData>
    <row r="1">
      <c r="A1" s="1" t="inlineStr">
        <is>
          <t>Legal Text: provisions reproduced word for word</t>
        </is>
      </c>
    </row>
    <row r="2">
      <c r="A2" s="2" t="inlineStr">
        <is>
          <t>Reproduced from the Gazette of India for reference. The Act text was transcribed from the scanned Gazette copy; check against the Gazette before quoting.</t>
        </is>
      </c>
    </row>
    <row r="4" ht="40" customHeight="1">
      <c r="A4" s="9" t="inlineStr">
        <is>
          <t>Control identifier</t>
        </is>
      </c>
      <c r="B4" s="9" t="inlineStr">
        <is>
          <t>Provision</t>
        </is>
      </c>
      <c r="C4" s="9" t="inlineStr">
        <is>
          <t>Exact text as published</t>
        </is>
      </c>
      <c r="D4" s="9" t="inlineStr">
        <is>
          <t>Published in</t>
        </is>
      </c>
    </row>
    <row r="5" ht="56" customHeight="1">
      <c r="A5" s="4" t="inlineStr">
        <is>
          <t>DPDP-Act-S4</t>
        </is>
      </c>
      <c r="B5" s="10" t="inlineStr">
        <is>
          <t>Digital Personal Data Protection Act, 2023, Section 4</t>
        </is>
      </c>
      <c r="C5" s="10" t="inlineStr">
        <is>
          <t>(1) A person may process the personal data of a Data Principal only in accordance with the provisions of this Act and for a lawful purpose,— (a) for which the Data Principal has given her consent; or (b) for certain legitimate uses. (2) For the purposes of this section, the expression “lawful purpose” means any purpose which is not expressly forbidden by law.</t>
        </is>
      </c>
      <c r="D5" s="10" t="inlineStr">
        <is>
          <t>Gazette of India, Extraordinary, Part II, Section 1, No. 25, 11 August 2023</t>
        </is>
      </c>
    </row>
    <row r="6" ht="112" customHeight="1">
      <c r="A6" s="4" t="inlineStr">
        <is>
          <t>DPDP-Act-S7</t>
        </is>
      </c>
      <c r="B6" s="10" t="inlineStr">
        <is>
          <t>Digital Personal Data Protection Act, 2023, Section 7 (opening words, clause (a) and clause (i); clauses (b) to (h) not reproduced here)</t>
        </is>
      </c>
      <c r="C6" s="10" t="inlineStr">
        <is>
          <t>A Data Fiduciary may process personal data of a Data Principal for any of following uses, namely:— (a) for the specified purpose for which the Data Principal has voluntarily provided her personal data to the Data Fiduciary, and in respect of which she has not indicated to the Data Fiduciary that she does not consent to the use of her personal data; [clauses (b) to (h) not reproduced here] (i) for the purposes of employment or those related to safeguarding the employer from loss or liability, such as prevention of corporate espionage, maintenance of confidentiality of trade secrets, intellectual property, classified information or provision of any service or benefit sought by a Data Principal who is an employee.</t>
        </is>
      </c>
      <c r="D6" s="10" t="inlineStr">
        <is>
          <t>Gazette of India, Extraordinary, Part II, Section 1, No. 25, 11 August 2023</t>
        </is>
      </c>
    </row>
    <row r="7" ht="84" customHeight="1">
      <c r="A7" s="4" t="inlineStr">
        <is>
          <t>DPDP-Act-S5(1)</t>
        </is>
      </c>
      <c r="B7" s="10" t="inlineStr">
        <is>
          <t>Digital Personal Data Protection Act, 2023, Section 5(1)</t>
        </is>
      </c>
      <c r="C7" s="10" t="inlineStr">
        <is>
          <t>(1) Every request made to a Data Principal under section 6 for consent shall be accompanied or preceded by a notice given by the Data Fiduciary to the Data Principal, informing her,— (i) the personal data and the purpose for which the same is proposed to be processed; (ii) the manner in which she may exercise her rights under sub-section (4) of section 6 and section 13; and (iii) the manner in which the Data Principal may make a complaint to the Board, in such manner and as may be prescribed.</t>
        </is>
      </c>
      <c r="D7" s="10" t="inlineStr">
        <is>
          <t>Gazette of India, Extraordinary, Part II, Section 1, No. 25, 11 August 2023</t>
        </is>
      </c>
    </row>
    <row r="8" ht="168" customHeight="1">
      <c r="A8" s="4" t="inlineStr">
        <is>
          <t>DPDP-Act-S5(1)</t>
        </is>
      </c>
      <c r="B8" s="10" t="inlineStr">
        <is>
          <t>Digital Personal Data Protection Rules, 2025, Rule 3</t>
        </is>
      </c>
      <c r="C8" s="10" t="inlineStr">
        <is>
          <t>3. Notice given by Data Fiduciary to Data Principal. —The notice given by the Data Fiduciary to the Data Principal shall— (a) be presented and be understandable independently of any other information that has been, is or may be made available by such Data Fiduciary; (b) give, in clear and plain language, a fair account of the details necessary to enable the Data Principal to give specific and informed consent for the processing of her personal data, which shall include, at the minimum, — (i) an itemised description of such personal data; and (ii) the specified purpose or purposes of, and specific description of the goods or services to be provided or uses to be enabled by, such processing; and (c) give, the particular communication link for accessing the website or app, or both, of such Data Fiduciary, and a description of other means, if any, using which such Data Principal may— (i) withdraw her consent, with the ease of doing so being comparable to that with which such consent was given; (ii) exercise her rights under the Act; and (iii) make a complaint to the Board.</t>
        </is>
      </c>
      <c r="D8" s="10" t="inlineStr">
        <is>
          <t>Gazette of India, Extraordinary, Part II, Section 3(i), G.S.R. 846(E), 13 November 2025</t>
        </is>
      </c>
    </row>
    <row r="9" ht="112" customHeight="1">
      <c r="A9" s="4" t="inlineStr">
        <is>
          <t>DPDP-Act-S5(2)</t>
        </is>
      </c>
      <c r="B9" s="10" t="inlineStr">
        <is>
          <t>Digital Personal Data Protection Act, 2023, Section 5(2)</t>
        </is>
      </c>
      <c r="C9" s="10" t="inlineStr">
        <is>
          <t>(2) Where a Data Principal has given her consent for the processing of her personal data before the date of commencement of this Act,— (a) the Data Fiduciary shall, as soon as it is reasonably practicable, give to the Data Principal a notice informing her,— (i) the personal data and the purpose for which the same has been processed; (ii) the manner in which she may exercise her rights under sub-section (4) of section 6 and section 13; and (iii) the manner in which the Data Principal may make a complaint to the Board, in such manner and as may be prescribed. (b) the Data Fiduciary may continue to process the personal data until and unless the Data Principal withdraws her consent.</t>
        </is>
      </c>
      <c r="D9" s="10" t="inlineStr">
        <is>
          <t>Gazette of India, Extraordinary, Part II, Section 1, No. 25, 11 August 2023</t>
        </is>
      </c>
    </row>
    <row r="10" ht="56" customHeight="1">
      <c r="A10" s="4" t="inlineStr">
        <is>
          <t>DPDP-Act-S6(1)</t>
        </is>
      </c>
      <c r="B10" s="10" t="inlineStr">
        <is>
          <t>Digital Personal Data Protection Act, 2023, Section 6(1)</t>
        </is>
      </c>
      <c r="C10" s="10" t="inlineStr">
        <is>
          <t>(1) The consent given by the Data Principal shall be free, specific, informed, unconditional and unambiguous with a clear affirmative action, and shall signify an agreement to the processing of her personal data for the specified purpose and be limited to such personal data as is necessary for such specified purpose.</t>
        </is>
      </c>
      <c r="D10" s="10" t="inlineStr">
        <is>
          <t>Gazette of India, Extraordinary, Part II, Section 1, No. 25, 11 August 2023</t>
        </is>
      </c>
    </row>
    <row r="11" ht="112" customHeight="1">
      <c r="A11" s="4" t="inlineStr">
        <is>
          <t>DPDP-Act-S6(4)</t>
        </is>
      </c>
      <c r="B11" s="10" t="inlineStr">
        <is>
          <t>Digital Personal Data Protection Act, 2023, Section 6(4) and Section 6(6)</t>
        </is>
      </c>
      <c r="C11" s="10" t="inlineStr">
        <is>
          <t>(4) Where consent given by the Data Principal is the basis of processing of personal data, such Data Principal shall have the right to withdraw her consent at any time, with the ease of doing so being comparable to the ease with which such consent was given. … (6) If a Data Principal withdraws her consent to the processing of personal data under sub-section (5), the Data Fiduciary shall, within a reasonable time, cease and cause its Data Processors to cease processing the personal data of such Data Principal unless such processing without her consent is required or authorised under the provisions of this Act or the rules made thereunder or any other law for the time being in force in India.</t>
        </is>
      </c>
      <c r="D11" s="10" t="inlineStr">
        <is>
          <t>Gazette of India, Extraordinary, Part II, Section 1, No. 25, 11 August 2023</t>
        </is>
      </c>
    </row>
    <row r="12" ht="70" customHeight="1">
      <c r="A12" s="4" t="inlineStr">
        <is>
          <t>DPDP-Act-S6(10)</t>
        </is>
      </c>
      <c r="B12" s="10" t="inlineStr">
        <is>
          <t>Digital Personal Data Protection Act, 2023, Section 6(10)</t>
        </is>
      </c>
      <c r="C12" s="10" t="inlineStr">
        <is>
          <t>(10) Where a consent given by the Data Principal is the basis of processing of personal data and a question arises in this regard in a proceeding, the Data Fiduciary shall be obliged to prove that a notice was given by her to the Data Principal and consent was given by such Data Principal to the Data Fiduciary in accordance with the provisions of this Act and the rules made thereunder.</t>
        </is>
      </c>
      <c r="D12" s="10" t="inlineStr">
        <is>
          <t>Gazette of India, Extraordinary, Part II, Section 1, No. 25, 11 August 2023</t>
        </is>
      </c>
    </row>
    <row r="13" ht="56" customHeight="1">
      <c r="A13" s="4" t="inlineStr">
        <is>
          <t>DPDP-Rule-4(1)</t>
        </is>
      </c>
      <c r="B13" s="10" t="inlineStr">
        <is>
          <t>Digital Personal Data Protection Act, 2023, Section 6(7) and Section 6(9)</t>
        </is>
      </c>
      <c r="C13" s="10" t="inlineStr">
        <is>
          <t>(7) The Data Principal may give, manage, review or withdraw her consent to the Data Fiduciary through a Consent Manager. … (9) Every Consent Manager shall be registered with the Board in such manner and subject to such technical, operational, financial and other conditions as may be prescribed.</t>
        </is>
      </c>
      <c r="D13" s="10" t="inlineStr">
        <is>
          <t>Gazette of India, Extraordinary, Part II, Section 1, No. 25, 11 August 2023</t>
        </is>
      </c>
    </row>
    <row r="14" ht="56" customHeight="1">
      <c r="A14" s="4" t="inlineStr">
        <is>
          <t>DPDP-Rule-4(1)</t>
        </is>
      </c>
      <c r="B14" s="10" t="inlineStr">
        <is>
          <t>Digital Personal Data Protection Rules, 2025, Rule 4(1)</t>
        </is>
      </c>
      <c r="C14" s="10" t="inlineStr">
        <is>
          <t>(1) A person who fulfils the conditions for registration of Consent Managers set out in Part A of First Schedule may apply to the Board for registration as a Consent Manager by furnishing such particulars and such other information and documents as the Board may publish in this behalf on its website.</t>
        </is>
      </c>
      <c r="D14" s="10" t="inlineStr">
        <is>
          <t>Gazette of India, Extraordinary, Part II, Section 3(i), G.S.R. 846(E), 13 November 2025</t>
        </is>
      </c>
    </row>
    <row r="15" ht="84" customHeight="1">
      <c r="A15" s="4" t="inlineStr">
        <is>
          <t>DPDP-Act-S8(1)</t>
        </is>
      </c>
      <c r="B15" s="10" t="inlineStr">
        <is>
          <t>Digital Personal Data Protection Act, 2023, Section 8(1) and Section 8(2)</t>
        </is>
      </c>
      <c r="C15" s="10" t="inlineStr">
        <is>
          <t>(1) A Data Fiduciary shall, irrespective of any agreement to the contrary or failure of a Data Principal to carry out the duties provided under this Act, be responsible for complying with the provisions of this Act and the rules made thereunder in respect of any processing undertaken by it or on its behalf by a Data Processor. (2) A Data Fiduciary may engage, appoint, use or otherwise involve a Data Processor to process personal data on its behalf for any activity related to offering of goods or services to Data Principals only under a valid contract.</t>
        </is>
      </c>
      <c r="D15" s="10" t="inlineStr">
        <is>
          <t>Gazette of India, Extraordinary, Part II, Section 1, No. 25, 11 August 2023</t>
        </is>
      </c>
    </row>
    <row r="16" ht="45" customHeight="1">
      <c r="A16" s="4" t="inlineStr">
        <is>
          <t>DPDP-Act-S8(3)</t>
        </is>
      </c>
      <c r="B16" s="10" t="inlineStr">
        <is>
          <t>Digital Personal Data Protection Act, 2023, Section 8(3)</t>
        </is>
      </c>
      <c r="C16" s="10" t="inlineStr">
        <is>
          <t>(3) Where personal data processed by a Data Fiduciary is likely to be— (a) used to make a decision that affects the Data Principal; or (b) disclosed to another Data Fiduciary, the Data Fiduciary processing such personal data shall ensure its completeness, accuracy and consistency.</t>
        </is>
      </c>
      <c r="D16" s="10" t="inlineStr">
        <is>
          <t>Gazette of India, Extraordinary, Part II, Section 1, No. 25, 11 August 2023</t>
        </is>
      </c>
    </row>
    <row r="17" ht="56" customHeight="1">
      <c r="A17" s="4" t="inlineStr">
        <is>
          <t>DPDP-Act-S38</t>
        </is>
      </c>
      <c r="B17" s="10" t="inlineStr">
        <is>
          <t>Digital Personal Data Protection Act, 2023, Section 38</t>
        </is>
      </c>
      <c r="C17" s="10" t="inlineStr">
        <is>
          <t>38. (1) The provisions of this Act shall be in addition to and not in derogation of any other law for the time being in force. (2) In the event of any conflict between a provision of this Act and a provision of any other law for the time being in force, the provision of this Act shall prevail to the extent of such conflict.</t>
        </is>
      </c>
      <c r="D17" s="10" t="inlineStr">
        <is>
          <t>Gazette of India, Extraordinary, Part II, Section 1, No. 25, 11 August 2023</t>
        </is>
      </c>
    </row>
    <row r="18" ht="56" customHeight="1">
      <c r="A18" s="4" t="inlineStr">
        <is>
          <t>DPDP-Act-S44(2)</t>
        </is>
      </c>
      <c r="B18" s="10" t="inlineStr">
        <is>
          <t>Digital Personal Data Protection Act, 2023, Section 44(2)</t>
        </is>
      </c>
      <c r="C18" s="10" t="inlineStr">
        <is>
          <t>(2) The Information Technology Act, 2000 shall be amended in the following manner, namely:— (a) section 43A shall be omitted; (b) in section 81, in the proviso, after the words and figures "the Patents Act, 1970", the words and figures "or the Digital Personal Data Protection Act, 2023" shall be inserted; and (c) in section 87, in sub-section (2), clause (ob) shall be omitted.</t>
        </is>
      </c>
      <c r="D18" s="10" t="inlineStr">
        <is>
          <t>Gazette of India, Extraordinary, Part II, Section 1, No. 25, 11 August 2023</t>
        </is>
      </c>
    </row>
    <row r="19" ht="70" customHeight="1">
      <c r="A19" s="4" t="inlineStr">
        <is>
          <t>DPDP-Act-S8(5)</t>
        </is>
      </c>
      <c r="B19" s="10" t="inlineStr">
        <is>
          <t>Digital Personal Data Protection Act, 2023, Section 8(4) and Section 8(5)</t>
        </is>
      </c>
      <c r="C19" s="10" t="inlineStr">
        <is>
          <t>(4) A Data Fiduciary shall implement appropriate technical and organisational measures to ensure effective observance of the provisions of this Act and the rules made thereunder. (5) A Data Fiduciary shall protect personal data in its possession or under its control, including in respect of any processing undertaken by it or on its behalf by a Data Processor, by taking reasonable security safeguards to prevent personal data breach.</t>
        </is>
      </c>
      <c r="D19" s="10" t="inlineStr">
        <is>
          <t>Gazette of India, Extraordinary, Part II, Section 1, No. 25, 11 August 2023</t>
        </is>
      </c>
    </row>
    <row r="20" ht="70" customHeight="1">
      <c r="A20" s="4" t="inlineStr">
        <is>
          <t>DPDP-Rule-6(1)(a)</t>
        </is>
      </c>
      <c r="B20" s="10" t="inlineStr">
        <is>
          <t>Digital Personal Data Protection Rules, 2025, Rule 6(1)(a)</t>
        </is>
      </c>
      <c r="C20" s="10" t="inlineStr">
        <is>
          <t>(1) A Data Fiduciary shall protect personal data in its possession or under its control, including in respect of any processing undertaken by it or on its behalf by a Data Processor, by taking reasonable security safeguards to prevent personal data breach, which shall include, at the minimum, — … (a) appropriate data security measures, such as securing of personal data through encryption, obfuscation, masking or the use of virtual tokens mapped to that personal data;</t>
        </is>
      </c>
      <c r="D20" s="10" t="inlineStr">
        <is>
          <t>Gazette of India, Extraordinary, Part II, Section 3(i), G.S.R. 846(E), 13 November 2025</t>
        </is>
      </c>
    </row>
    <row r="21" ht="70" customHeight="1">
      <c r="A21" s="4" t="inlineStr">
        <is>
          <t>DPDP-Rule-6(1)(b)</t>
        </is>
      </c>
      <c r="B21" s="10" t="inlineStr">
        <is>
          <t>Digital Personal Data Protection Rules, 2025, Rule 6(1)(b)</t>
        </is>
      </c>
      <c r="C21" s="10" t="inlineStr">
        <is>
          <t>(1) A Data Fiduciary shall protect personal data in its possession or under its control, including in respect of any processing undertaken by it or on its behalf by a Data Processor, by taking reasonable security safeguards to prevent personal data breach, which shall include, at the minimum, — … (b) appropriate measures to control access to the computer resources used by such Data Fiduciary or such a Data Processor, wherever applicable;</t>
        </is>
      </c>
      <c r="D21" s="10" t="inlineStr">
        <is>
          <t>Gazette of India, Extraordinary, Part II, Section 3(i), G.S.R. 846(E), 13 November 2025</t>
        </is>
      </c>
    </row>
    <row r="22" ht="84" customHeight="1">
      <c r="A22" s="4" t="inlineStr">
        <is>
          <t>DPDP-Rule-6(1)(c)</t>
        </is>
      </c>
      <c r="B22" s="10" t="inlineStr">
        <is>
          <t>Digital Personal Data Protection Rules, 2025, Rule 6(1)(c)</t>
        </is>
      </c>
      <c r="C22" s="10" t="inlineStr">
        <is>
          <t>(1) A Data Fiduciary shall protect personal data in its possession or under its control, including in respect of any processing undertaken by it or on its behalf by a Data Processor, by taking reasonable security safeguards to prevent personal data breach, which shall include, at the minimum, — … (c) visibility on the accessing of such personal data, through appropriate logs, monitoring and review, for enabling detection of unauthorised access, its investigation and remediation to prevent recurrence;</t>
        </is>
      </c>
      <c r="D22" s="10" t="inlineStr">
        <is>
          <t>Gazette of India, Extraordinary, Part II, Section 3(i), G.S.R. 846(E), 13 November 2025</t>
        </is>
      </c>
    </row>
    <row r="23" ht="84" customHeight="1">
      <c r="A23" s="4" t="inlineStr">
        <is>
          <t>DPDP-Rule-6(1)(d)</t>
        </is>
      </c>
      <c r="B23" s="10" t="inlineStr">
        <is>
          <t>Digital Personal Data Protection Rules, 2025, Rule 6(1)(d)</t>
        </is>
      </c>
      <c r="C23" s="10" t="inlineStr">
        <is>
          <t>(1) A Data Fiduciary shall protect personal data in its possession or under its control, including in respect of any processing undertaken by it or on its behalf by a Data Processor, by taking reasonable security safeguards to prevent personal data breach, which shall include, at the minimum, — … (d) reasonable measures for continued processing in the event of confidentiality, integrity or availability of such personal data being compromised as a result of destruction or loss of access to personal data or otherwise, such as by way of data-backups;</t>
        </is>
      </c>
      <c r="D23" s="10" t="inlineStr">
        <is>
          <t>Gazette of India, Extraordinary, Part II, Section 3(i), G.S.R. 846(E), 13 November 2025</t>
        </is>
      </c>
    </row>
    <row r="24" ht="98" customHeight="1">
      <c r="A24" s="4" t="inlineStr">
        <is>
          <t>DPDP-Rule-6(1)(e)</t>
        </is>
      </c>
      <c r="B24" s="10" t="inlineStr">
        <is>
          <t>Digital Personal Data Protection Rules, 2025, Rule 6(1)(e)</t>
        </is>
      </c>
      <c r="C24" s="10" t="inlineStr">
        <is>
          <t>(1) A Data Fiduciary shall protect personal data in its possession or under its control, including in respect of any processing undertaken by it or on its behalf by a Data Processor, by taking reasonable security safeguards to prevent personal data breach, which shall include, at the minimum, — … (e) for enabling the detection of unauthorised access, its investigation, remediation to prevent recurrence and continued processing in the event of such a compromise, retain such logs and personal data for a period of one year, unless compliance with any law for the time being in force requires otherwise;</t>
        </is>
      </c>
      <c r="D24" s="10" t="inlineStr">
        <is>
          <t>Gazette of India, Extraordinary, Part II, Section 3(i), G.S.R. 846(E), 13 November 2025</t>
        </is>
      </c>
    </row>
    <row r="25" ht="84" customHeight="1">
      <c r="A25" s="4" t="inlineStr">
        <is>
          <t>DPDP-Rule-6(1)(f)</t>
        </is>
      </c>
      <c r="B25" s="10" t="inlineStr">
        <is>
          <t>Digital Personal Data Protection Rules, 2025, Rule 6(1)(f)</t>
        </is>
      </c>
      <c r="C25" s="10" t="inlineStr">
        <is>
          <t>(1) A Data Fiduciary shall protect personal data in its possession or under its control, including in respect of any processing undertaken by it or on its behalf by a Data Processor, by taking reasonable security safeguards to prevent personal data breach, which shall include, at the minimum, — … (f) appropriate provision in the contract entered into between such Data Fiduciary and such a Data Processor, wherever applicable, for taking reasonable security safeguards; and</t>
        </is>
      </c>
      <c r="D25" s="10" t="inlineStr">
        <is>
          <t>Gazette of India, Extraordinary, Part II, Section 3(i), G.S.R. 846(E), 13 November 2025</t>
        </is>
      </c>
    </row>
    <row r="26" ht="70" customHeight="1">
      <c r="A26" s="4" t="inlineStr">
        <is>
          <t>DPDP-Rule-6(1)(g)</t>
        </is>
      </c>
      <c r="B26" s="10" t="inlineStr">
        <is>
          <t>Digital Personal Data Protection Rules, 2025, Rule 6(1)(g)</t>
        </is>
      </c>
      <c r="C26" s="10" t="inlineStr">
        <is>
          <t>(1) A Data Fiduciary shall protect personal data in its possession or under its control, including in respect of any processing undertaken by it or on its behalf by a Data Processor, by taking reasonable security safeguards to prevent personal data breach, which shall include, at the minimum, — … (g) appropriate technical and organisational measures to ensure effective observance of security safeguards.</t>
        </is>
      </c>
      <c r="D26" s="10" t="inlineStr">
        <is>
          <t>Gazette of India, Extraordinary, Part II, Section 3(i), G.S.R. 846(E), 13 November 2025</t>
        </is>
      </c>
    </row>
    <row r="27" ht="45" customHeight="1">
      <c r="A27" s="4" t="inlineStr">
        <is>
          <t>DPDP-Rule-7(1)</t>
        </is>
      </c>
      <c r="B27" s="10" t="inlineStr">
        <is>
          <t>Digital Personal Data Protection Act, 2023, Section 8(6)</t>
        </is>
      </c>
      <c r="C27" s="10" t="inlineStr">
        <is>
          <t>(6) In the event of a personal data breach, the Data Fiduciary shall give the Board and each affected Data Principal, intimation of such breach in such form and manner as may be prescribed.</t>
        </is>
      </c>
      <c r="D27" s="10" t="inlineStr">
        <is>
          <t>Gazette of India, Extraordinary, Part II, Section 1, No. 25, 11 August 2023</t>
        </is>
      </c>
    </row>
    <row r="28" ht="126" customHeight="1">
      <c r="A28" s="4" t="inlineStr">
        <is>
          <t>DPDP-Rule-7(1)</t>
        </is>
      </c>
      <c r="B28" s="10" t="inlineStr">
        <is>
          <t>Digital Personal Data Protection Rules, 2025, Rule 7(1)</t>
        </is>
      </c>
      <c r="C28" s="10" t="inlineStr">
        <is>
          <t>(1) On becoming aware of any personal data breach, the Data Fiduciary shall, to the best of its knowledge, intimate to each affected Data Principal, in a concise, clear and plain manner and without delay, through her user account or any mode of communication registered by her with the Data Fiduciary, — (a) a description of the breach, including its nature, extent and the timing of its occurrence; (b) the consequences relevant to her, that are likely to arise from the breach; (c) the measures implemented and being implemented by the Data Fiduciary, if any, to mitigate risk; (d) the safety measures that she may take to protect her interests; and (e) business contact information of a person who is able to respond on behalf of the Data Fiduciary, to queries, if any, of the Data Principal.</t>
        </is>
      </c>
      <c r="D28" s="10" t="inlineStr">
        <is>
          <t>Gazette of India, Extraordinary, Part II, Section 3(i), G.S.R. 846(E), 13 November 2025</t>
        </is>
      </c>
    </row>
    <row r="29" ht="126" customHeight="1">
      <c r="A29" s="4" t="inlineStr">
        <is>
          <t>DPDP-Rule-7(2)</t>
        </is>
      </c>
      <c r="B29" s="10" t="inlineStr">
        <is>
          <t>Digital Personal Data Protection Rules, 2025, Rule 7(2)</t>
        </is>
      </c>
      <c r="C29" s="10" t="inlineStr">
        <is>
          <t>(2) On becoming aware of any personal data breach, the Data Fiduciary shall intimate to the Board, — (a) without delay, a description of the breach, including its nature, extent, timing and location of occurrence and the likely impact; (b) within seventy-two hours of becoming aware of the breach, or within such longer period as the Board may allow on a request made in writing in this behalf, — (i) updated and detailed information in respect of such description; (ii) the broad facts related to the events, circumstances and reasons leading to the breach; (iii) measures implemented or proposed, if any, to mitigate risk; (iv) any findings regarding the person who caused the breach; (v) remedial measures taken to prevent recurrence of such breach; and (vi) a report regarding the intimations given to affected Data Principals.</t>
        </is>
      </c>
      <c r="D29" s="10" t="inlineStr">
        <is>
          <t>Gazette of India, Extraordinary, Part II, Section 3(i), G.S.R. 846(E), 13 November 2025</t>
        </is>
      </c>
    </row>
    <row r="30" ht="70" customHeight="1">
      <c r="A30" s="4" t="inlineStr">
        <is>
          <t>DPDP-Act-S8(7)</t>
        </is>
      </c>
      <c r="B30" s="10" t="inlineStr">
        <is>
          <t>Digital Personal Data Protection Act, 2023, Section 8(7)</t>
        </is>
      </c>
      <c r="C30" s="10" t="inlineStr">
        <is>
          <t>(7) A Data Fiduciary shall, unless retention is necessary for compliance with any law for the time being in force,— (a) erase personal data, upon the Data Principal withdrawing her consent or as soon as it is reasonable to assume that the specified purpose is no longer being served, whichever is earlier; and (b) cause its Data Processor to erase any personal data that was made available by the Data Fiduciary for processing to such Data Processor.</t>
        </is>
      </c>
      <c r="D30" s="10" t="inlineStr">
        <is>
          <t>Gazette of India, Extraordinary, Part II, Section 1, No. 25, 11 August 2023</t>
        </is>
      </c>
    </row>
    <row r="31" ht="196" customHeight="1">
      <c r="A31" s="4" t="inlineStr">
        <is>
          <t>DPDP-Rule-8(3)</t>
        </is>
      </c>
      <c r="B31" s="10" t="inlineStr">
        <is>
          <t>Digital Personal Data Protection Rules, 2025, Rule 8(3), with its Illustration</t>
        </is>
      </c>
      <c r="C31" s="10" t="inlineStr">
        <is>
          <t>(3) Without prejudice to sub-rules (1) and (2), a Data Fiduciary shall retain, in respect of any processing of personal data undertaken by it or on its behalf by a Data Processor, such personal data, associated traffic data and other logs of the processing for a minimum period of one year from the date of such processing, for the purposes as specified in the Seventh Schedule, after which the Data Fiduciary shall cause such personal data and logs to be erased, unless further retention is required for compliance with any other law for the time being in force or notified by the Government. Illustration. Case 1: X, a Data Principal purchases an e-book on an e-book platform Y. Once delivery is completed, the specified purpose of processing is served. The platform Y must retain the order details, personal data, and logs of the processing (such as order confirmation, payment, and delivery events) for at least one year from the date of the transaction, even if X deletes her account. Case 2: X, a company engages a cloud service provider C as its Data Processor to host customer records. X as the Data Fiduciary, is required to ensure that the C also retains the data and associated logs for at least one year before erasure, unless any other applicable law requires a longer period.</t>
        </is>
      </c>
      <c r="D31" s="10" t="inlineStr">
        <is>
          <t>Gazette of India, Extraordinary, Part II, Section 3(i), G.S.R. 846(E), 13 November 2025</t>
        </is>
      </c>
    </row>
    <row r="32" ht="70" customHeight="1">
      <c r="A32" s="4" t="inlineStr">
        <is>
          <t>DPDP-Rule-8(1)</t>
        </is>
      </c>
      <c r="B32" s="10" t="inlineStr">
        <is>
          <t>Digital Personal Data Protection Act, 2023, Section 8(8)</t>
        </is>
      </c>
      <c r="C32" s="10" t="inlineStr">
        <is>
          <t>(8) The purpose referred to in clause (a) of sub-section (7) shall be deemed to no longer be served, if the Data Principal does not— (a) approach the Data Fiduciary for the performance of the specified purpose; and (b) exercise any of her rights in relation to such processing, for such time period as may be prescribed, and different time periods may be prescribed for different classes of Data Fiduciaries and for different purposes.</t>
        </is>
      </c>
      <c r="D32" s="10" t="inlineStr">
        <is>
          <t>Gazette of India, Extraordinary, Part II, Section 1, No. 25, 11 August 2023</t>
        </is>
      </c>
    </row>
    <row r="33" ht="154" customHeight="1">
      <c r="A33" s="4" t="inlineStr">
        <is>
          <t>DPDP-Rule-8(1)</t>
        </is>
      </c>
      <c r="B33" s="10" t="inlineStr">
        <is>
          <t>Digital Personal Data Protection Rules, 2025, Rule 8(1) and 8(2)</t>
        </is>
      </c>
      <c r="C33" s="10" t="inlineStr">
        <is>
          <t>(1) A Data Fiduciary, who is of such class and is processing personal data for such corresponding purposes as are specified in Third Schedule, shall erase such personal data, unless its retention is necessary for compliance with any law for the time being in force, or, for the corresponding time period specified in the Third Schedule, if the Data Principal neither approaches such Data Fiduciary for the performance of the specified purpose nor exercises her rights in relation to such processing. (2) At least forty-eight hours before completion of the time period for erasure of personal data under this rule, the Data Fiduciary shall inform the Data Principal that such personal data shall be erased upon completion of such period, unless she logs into her user account or otherwise initiates contact with the Data Fiduciary for the performance of the specified purpose or exercises her rights in relation to the processing of such personal data.</t>
        </is>
      </c>
      <c r="D33" s="10" t="inlineStr">
        <is>
          <t>Gazette of India, Extraordinary, Part II, Section 3(i), G.S.R. 846(E), 13 November 2025</t>
        </is>
      </c>
    </row>
    <row r="34" ht="56" customHeight="1">
      <c r="A34" s="4" t="inlineStr">
        <is>
          <t>DPDP-Rule-8(1)</t>
        </is>
      </c>
      <c r="B34" s="10" t="inlineStr">
        <is>
          <t>Digital Personal Data Protection Act, 2023, Section 8(11)</t>
        </is>
      </c>
      <c r="C34" s="10" t="inlineStr">
        <is>
          <t>(11) For the purposes of this section, it is hereby clarified that a Data Principal shall be considered as not having approached the Data Fiduciary for the performance of the specified purpose, in any period during which she has not initiated contact with the Data Fiduciary for such performance, in person or by way of communication in electronic or physical form.</t>
        </is>
      </c>
      <c r="D34" s="10" t="inlineStr">
        <is>
          <t>Gazette of India, Extraordinary, Part II, Section 1, No. 25, 11 August 2023</t>
        </is>
      </c>
    </row>
    <row r="35" ht="56" customHeight="1">
      <c r="A35" s="4" t="inlineStr">
        <is>
          <t>DPDP-Rule-9</t>
        </is>
      </c>
      <c r="B35" s="10" t="inlineStr">
        <is>
          <t>Digital Personal Data Protection Act, 2023, Section 8(9)</t>
        </is>
      </c>
      <c r="C35" s="10" t="inlineStr">
        <is>
          <t>(9) A Data Fiduciary shall publish, in such manner as may be prescribed, the business contact information of a Data Protection Officer, if applicable, or a person who is able to answer on behalf of the Data Fiduciary, the questions, if any, raised by the Data Principal about the processing of her personal data.</t>
        </is>
      </c>
      <c r="D35" s="10" t="inlineStr">
        <is>
          <t>Gazette of India, Extraordinary, Part II, Section 1, No. 25, 11 August 2023</t>
        </is>
      </c>
    </row>
    <row r="36" ht="84" customHeight="1">
      <c r="A36" s="4" t="inlineStr">
        <is>
          <t>DPDP-Rule-9</t>
        </is>
      </c>
      <c r="B36" s="10" t="inlineStr">
        <is>
          <t>Digital Personal Data Protection Rules, 2025, Rule 9</t>
        </is>
      </c>
      <c r="C36" s="10" t="inlineStr">
        <is>
          <t>9. Contact information of person to answer questions about processing.— Every Data Fiduciary shall prominently publish on its website or app, and mention in every response to a communication for the exercise of the rights of a Data Principal under the Act, the business contact information of the Data Protection Officer, if applicable, or a person who is able to answer on behalf of the Data Fiduciary the questions of the Data Principal about the processing of her personal data.</t>
        </is>
      </c>
      <c r="D36" s="10" t="inlineStr">
        <is>
          <t>Gazette of India, Extraordinary, Part II, Section 3(i), G.S.R. 846(E), 13 November 2025</t>
        </is>
      </c>
    </row>
    <row r="37" ht="126" customHeight="1">
      <c r="A37" s="4" t="inlineStr">
        <is>
          <t>DPDP-Act-S11(1)</t>
        </is>
      </c>
      <c r="B37" s="10" t="inlineStr">
        <is>
          <t>Digital Personal Data Protection Act, 2023, Section 11(1)</t>
        </is>
      </c>
      <c r="C37" s="10" t="inlineStr">
        <is>
          <t>(1) The Data Principal shall have the right to obtain from the Data Fiduciary to whom she has previously given consent, including consent as referred to in clause (a) of section 7 (hereinafter referred to as the said Data Fiduciary), for processing of personal data, upon making to it a request in such manner as may be prescribed,— (a) a summary of personal data which is being processed by such Data Fiduciary and the processing activities undertaken by that Data Fiduciary with respect to such personal data; (b) the identities of all other Data Fiduciaries and Data Processors with whom the personal data has been shared by such Data Fiduciary, along with a description of the personal data so shared; and (c) any other information related to the personal data of such Data Principal and its processing, as may be prescribed.</t>
        </is>
      </c>
      <c r="D37" s="10" t="inlineStr">
        <is>
          <t>Gazette of India, Extraordinary, Part II, Section 1, No. 25, 11 August 2023</t>
        </is>
      </c>
    </row>
    <row r="38" ht="182" customHeight="1">
      <c r="A38" s="4" t="inlineStr">
        <is>
          <t>DPDP-Act-S11(1)</t>
        </is>
      </c>
      <c r="B38" s="10" t="inlineStr">
        <is>
          <t>Digital Personal Data Protection Rules, 2025, Rule 14(1) to 14(3)</t>
        </is>
      </c>
      <c r="C38" s="10" t="inlineStr">
        <is>
          <t>(1) For enabling Data Principals to exercise their rights under the Act, the Data Fiduciary and, where applicable, the Consent Manager, shall prominently publish on its website or app, or both, as the case may be, — (a) the details of the means using which a Data Principal may make a request for the exercise of such rights; and (b) the particulars, if any, such as the username or other identifier of such a Data Principal, which may be required to identify her under its terms of service. (2) To exercise the rights of the Data Principal under the Act, she may make a request to the Data Fiduciary to whom she has previously given consent for processing of her personal data, using the means and furnishing the particulars required by such Data Fiduciary for the exercise of such rights. (3) Every Data Fiduciary and Consent Manager shall prominently publish on its website or app, or both, as the case may be, within a reasonable period not exceeding ninety days under its grievance redressal system for responding to the grievances of Data Principals and shall, for ensuring the effectiveness of the system in responding within such period, implement appropriate technical and organisational measures.</t>
        </is>
      </c>
      <c r="D38" s="10" t="inlineStr">
        <is>
          <t>Gazette of India, Extraordinary, Part II, Section 3(i), G.S.R. 846(E), 13 November 2025</t>
        </is>
      </c>
    </row>
    <row r="39" ht="70" customHeight="1">
      <c r="A39" s="4" t="inlineStr">
        <is>
          <t>DPDP-Act-S11(1)</t>
        </is>
      </c>
      <c r="B39" s="10" t="inlineStr">
        <is>
          <t>Digital Personal Data Protection Act, 2023, Section 11(2)</t>
        </is>
      </c>
      <c r="C39" s="10" t="inlineStr">
        <is>
          <t>(2) Nothing contained in clause (b) or clause (c) of sub-section (1) shall apply in respect of the sharing of any personal data by the said Data Fiduciary with any other Data Fiduciary authorised by law to obtain such personal data, where such sharing is pursuant to a request made in writing by such other Data Fiduciary for the purpose of prevention or detection or investigation of offences or cyber incidents, or for prosecution or punishment of offences.</t>
        </is>
      </c>
      <c r="D39" s="10" t="inlineStr">
        <is>
          <t>Gazette of India, Extraordinary, Part II, Section 1, No. 25, 11 August 2023</t>
        </is>
      </c>
    </row>
    <row r="40" ht="140" customHeight="1">
      <c r="A40" s="4" t="inlineStr">
        <is>
          <t>DPDP-Act-S12</t>
        </is>
      </c>
      <c r="B40" s="10" t="inlineStr">
        <is>
          <t>Digital Personal Data Protection Act, 2023, Section 12(1) to 12(3)</t>
        </is>
      </c>
      <c r="C40" s="10" t="inlineStr">
        <is>
          <t>(1) A Data Principal shall have the right to correction, completion, updating and erasure of her personal data for the processing of which she has previously given consent, including consent as referred to in clause (a) of section 7, in accordance with any requirement or procedure under any law for the time being in force. (2) A Data Fiduciary shall, upon receiving a request for correction, completion or updating from a Data Principal,— (a) correct the inaccurate or misleading personal data; (b) complete the incomplete personal data; and (c) update the personal data. (3) A Data Principal shall make a request in such manner as may be prescribed to the Data Fiduciary for erasure of her personal data, and upon receipt of such a request, the Data Fiduciary shall erase her personal data unless retention of the same is necessary for the specified purpose or for compliance with any law for the time being in force.</t>
        </is>
      </c>
      <c r="D40" s="10" t="inlineStr">
        <is>
          <t>Gazette of India, Extraordinary, Part II, Section 1, No. 25, 11 August 2023</t>
        </is>
      </c>
    </row>
    <row r="41" ht="182" customHeight="1">
      <c r="A41" s="4" t="inlineStr">
        <is>
          <t>DPDP-Act-S12</t>
        </is>
      </c>
      <c r="B41" s="10" t="inlineStr">
        <is>
          <t>Digital Personal Data Protection Rules, 2025, Rule 14(1) to 14(3)</t>
        </is>
      </c>
      <c r="C41" s="10" t="inlineStr">
        <is>
          <t>(1) For enabling Data Principals to exercise their rights under the Act, the Data Fiduciary and, where applicable, the Consent Manager, shall prominently publish on its website or app, or both, as the case may be, — (a) the details of the means using which a Data Principal may make a request for the exercise of such rights; and (b) the particulars, if any, such as the username or other identifier of such a Data Principal, which may be required to identify her under its terms of service. (2) To exercise the rights of the Data Principal under the Act, she may make a request to the Data Fiduciary to whom she has previously given consent for processing of her personal data, using the means and furnishing the particulars required by such Data Fiduciary for the exercise of such rights. (3) Every Data Fiduciary and Consent Manager shall prominently publish on its website or app, or both, as the case may be, within a reasonable period not exceeding ninety days under its grievance redressal system for responding to the grievances of Data Principals and shall, for ensuring the effectiveness of the system in responding within such period, implement appropriate technical and organisational measures.</t>
        </is>
      </c>
      <c r="D41" s="10" t="inlineStr">
        <is>
          <t>Gazette of India, Extraordinary, Part II, Section 3(i), G.S.R. 846(E), 13 November 2025</t>
        </is>
      </c>
    </row>
    <row r="42" ht="45" customHeight="1">
      <c r="A42" s="4" t="inlineStr">
        <is>
          <t>DPDP-Act-S13</t>
        </is>
      </c>
      <c r="B42" s="10" t="inlineStr">
        <is>
          <t>Digital Personal Data Protection Act, 2023, Section 8(10)</t>
        </is>
      </c>
      <c r="C42" s="10" t="inlineStr">
        <is>
          <t>(10) A Data Fiduciary shall establish an effective mechanism to redress the grievances of Data Principals.</t>
        </is>
      </c>
      <c r="D42" s="10" t="inlineStr">
        <is>
          <t>Gazette of India, Extraordinary, Part II, Section 1, No. 25, 11 August 2023</t>
        </is>
      </c>
    </row>
    <row r="43" ht="126" customHeight="1">
      <c r="A43" s="4" t="inlineStr">
        <is>
          <t>DPDP-Act-S13</t>
        </is>
      </c>
      <c r="B43" s="10" t="inlineStr">
        <is>
          <t>Digital Personal Data Protection Act, 2023, Section 13(1) to 13(3)</t>
        </is>
      </c>
      <c r="C43" s="10" t="inlineStr">
        <is>
          <t>(1) A Data Principal shall have the right to have readily available means of grievance redressal provided by a Data Fiduciary or Consent Manager in respect of any act or omission of such Data Fiduciary or Consent Manager regarding the performance of its obligations in relation to the personal data of such Data Principal or the exercise of her rights under the provisions of this Act and the rules made thereunder. (2) The Data Fiduciary or Consent Manager shall respond to any grievances referred to in sub-section (1) within such period as may be prescribed from the date of its receipt for all or any class of Data Fiduciaries. (3) The Data Principal shall exhaust the opportunity of redressing her grievance under this section before approaching the Board.</t>
        </is>
      </c>
      <c r="D43" s="10" t="inlineStr">
        <is>
          <t>Gazette of India, Extraordinary, Part II, Section 1, No. 25, 11 August 2023</t>
        </is>
      </c>
    </row>
    <row r="44" ht="182" customHeight="1">
      <c r="A44" s="4" t="inlineStr">
        <is>
          <t>DPDP-Act-S13</t>
        </is>
      </c>
      <c r="B44" s="10" t="inlineStr">
        <is>
          <t>Digital Personal Data Protection Rules, 2025, Rule 14(1) to 14(3)</t>
        </is>
      </c>
      <c r="C44" s="10" t="inlineStr">
        <is>
          <t>(1) For enabling Data Principals to exercise their rights under the Act, the Data Fiduciary and, where applicable, the Consent Manager, shall prominently publish on its website or app, or both, as the case may be, — (a) the details of the means using which a Data Principal may make a request for the exercise of such rights; and (b) the particulars, if any, such as the username or other identifier of such a Data Principal, which may be required to identify her under its terms of service. (2) To exercise the rights of the Data Principal under the Act, she may make a request to the Data Fiduciary to whom she has previously given consent for processing of her personal data, using the means and furnishing the particulars required by such Data Fiduciary for the exercise of such rights. (3) Every Data Fiduciary and Consent Manager shall prominently publish on its website or app, or both, as the case may be, within a reasonable period not exceeding ninety days under its grievance redressal system for responding to the grievances of Data Principals and shall, for ensuring the effectiveness of the system in responding within such period, implement appropriate technical and organisational measures.</t>
        </is>
      </c>
      <c r="D44" s="10" t="inlineStr">
        <is>
          <t>Gazette of India, Extraordinary, Part II, Section 3(i), G.S.R. 846(E), 13 November 2025</t>
        </is>
      </c>
    </row>
    <row r="45" ht="56" customHeight="1">
      <c r="A45" s="4" t="inlineStr">
        <is>
          <t>DPDP-Act-S14(1)</t>
        </is>
      </c>
      <c r="B45" s="10" t="inlineStr">
        <is>
          <t>Digital Personal Data Protection Act, 2023, Section 14(1)</t>
        </is>
      </c>
      <c r="C45" s="10" t="inlineStr">
        <is>
          <t>(1) A Data Principal shall have the right to nominate, in such manner as may be prescribed, any other individual, who shall, in the event of death or incapacity of the Data Principal, exercise the rights of the Data Principal in accordance with the provisions of this Act and the rules made thereunder.</t>
        </is>
      </c>
      <c r="D45" s="10" t="inlineStr">
        <is>
          <t>Gazette of India, Extraordinary, Part II, Section 1, No. 25, 11 August 2023</t>
        </is>
      </c>
    </row>
    <row r="46" ht="70" customHeight="1">
      <c r="A46" s="4" t="inlineStr">
        <is>
          <t>DPDP-Act-S9(1)</t>
        </is>
      </c>
      <c r="B46" s="10" t="inlineStr">
        <is>
          <t>Digital Personal Data Protection Act, 2023, Section 9(1)</t>
        </is>
      </c>
      <c r="C46" s="10" t="inlineStr">
        <is>
          <t>(1) The Data Fiduciary shall, before processing any personal data of a child or a person with disability who has a lawful guardian obtain verifiable consent of the parent of such child or the lawful guardian, as the case may be, in such manner as may be prescribed. [Note: as originally enacted. The Digital Personal Data Protection (Removal of Difficulties) Order, 2026 is reported to insert the word “of” before “a person with disability”. Check the amended text.]</t>
        </is>
      </c>
      <c r="D46" s="10" t="inlineStr">
        <is>
          <t>Gazette of India, Extraordinary, Part II, Section 1, No. 25, 11 August 2023</t>
        </is>
      </c>
    </row>
    <row r="47" ht="409" customHeight="1">
      <c r="A47" s="4" t="inlineStr">
        <is>
          <t>DPDP-Act-S9(1)</t>
        </is>
      </c>
      <c r="B47" s="10" t="inlineStr">
        <is>
          <t>Digital Personal Data Protection Rules, 2025, Rule 10(1), with the Illustration to Rule 10</t>
        </is>
      </c>
      <c r="C47" s="10" t="inlineStr">
        <is>
          <t>(1) A Data Fiduciary shall adopt appropriate technical and organisational measures to ensure that verifiable consent of the parent is obtained before the processing of any personal data of a child and shall observe due diligence, for checking that the individual identifying herself as the parent is an adult who is identifiable if required in connection with compliance with any law for the time being in force in India, by reference to— (a) reliable details of identity and age of the individual available with the Data Fiduciary; or (b) details of identity and age, voluntarily provided — (i) by the individual; or (ii) through a virtual token mapped to such details, which is issued by an authorised entity. Illustration. C is a child, P is a parent, and DF is a Data Fiduciary. A user account of C is sought to be created on the online platform of DF, by processing the personal data of C. Case 1: C informs DF that she is a child and declares P as her parent. DF shall enable P to identify herself through its website, app or other appropriate means. P identifies herself as the parent and informs DF that she is a registered user on DF’s platform and has previously made available her identity and age details to DF. Before processing C’s personal data for the creation of her user account, DF shall check to confirm that it holds reliable identity and age details of P and that P is an identifiable adult. Case 2: C informs DF that she is a child and declares P as her parent. DF shall enable P to identify herself through its website, app or other appropriate means. P identifies herself as the parent and informs DF that she herself is not a registered user on DF’s platform. Before processing C’s personal data for the creation of her user account, DF shall, by reference to identity and age details issued by an entity entrusted by law or the Government with maintenance of the said details or to a virtual token mapped to the identity and age, check that P is an identifiable adult. P may voluntarily make such details available using the services of a Digital Locker service provider. Case 3: P is opening an account for C and identifies herself as C’s parent and informs DF that she is a registered user on DF’s platform and has previously made available her identity and age details to DF. Before processing C’s personal data for the creation of her user account, DF shall check to confirm that it holds reliable identity and age details of P and that P is an identifiable adult. Case 4: P is opening an account for C and identifies herself as C’s parent and informs DF that she herself is not a registered user on DF’s platform. Before processing C’s personal data for the creation of her user account, DF shall, by reference to identity and age details issued by an entity entrusted by law or the Government with maintenance of the said details or to a virtual token mapped to the identity and age, check that P is an identifiable adult. P may voluntarily make such details available using the services of a Digital Locker service provider.</t>
        </is>
      </c>
      <c r="D47" s="10" t="inlineStr">
        <is>
          <t>Gazette of India, Extraordinary, Part II, Section 3(i), G.S.R. 846(E), 13 November 2025</t>
        </is>
      </c>
    </row>
    <row r="48" ht="45" customHeight="1">
      <c r="A48" s="4" t="inlineStr">
        <is>
          <t>DPDP-Act-S9(3)</t>
        </is>
      </c>
      <c r="B48" s="10" t="inlineStr">
        <is>
          <t>Digital Personal Data Protection Act, 2023, Section 9(2) and Section 9(3)</t>
        </is>
      </c>
      <c r="C48" s="10" t="inlineStr">
        <is>
          <t>(2) A Data Fiduciary shall not undertake such processing of personal data that is likely to cause any detrimental effect on the well-being of a child. (3) A Data Fiduciary shall not undertake tracking or behavioural monitoring of children or targeted advertising directed at children.</t>
        </is>
      </c>
      <c r="D48" s="10" t="inlineStr">
        <is>
          <t>Gazette of India, Extraordinary, Part II, Section 1, No. 25, 11 August 2023</t>
        </is>
      </c>
    </row>
    <row r="49" ht="98" customHeight="1">
      <c r="A49" s="4" t="inlineStr">
        <is>
          <t>DPDP-Act-S9(3)</t>
        </is>
      </c>
      <c r="B49" s="10" t="inlineStr">
        <is>
          <t>Digital Personal Data Protection Rules, 2025, Rule 12</t>
        </is>
      </c>
      <c r="C49" s="10" t="inlineStr">
        <is>
          <t>12. Exemptions from certain obligations applicable to processing of personal data of child. — (1) The provisions of sub-sections (1) and (3) of section 9 of the Act shall not be applicable to processing of personal data of a child by such class of Data Fiduciaries as are specified in Part A of Fourth Schedule, subject to such conditions as are specified in the said Part. (2) The provisions of sub-sections (1) and (3) of section 9 of the Act shall not be applicable to processing of personal data of a child for such purposes as are specified in Part B of Fourth Schedule, subject to such conditions as are specified in the said Part.</t>
        </is>
      </c>
      <c r="D49" s="10" t="inlineStr">
        <is>
          <t>Gazette of India, Extraordinary, Part II, Section 3(i), G.S.R. 846(E), 13 November 2025</t>
        </is>
      </c>
    </row>
    <row r="50" ht="56" customHeight="1">
      <c r="A50" s="4" t="inlineStr">
        <is>
          <t>DPDP-Rule-11(1)</t>
        </is>
      </c>
      <c r="B50" s="10" t="inlineStr">
        <is>
          <t>Digital Personal Data Protection Rules, 2025, Rule 11(1)</t>
        </is>
      </c>
      <c r="C50" s="10" t="inlineStr">
        <is>
          <t>(1) A Data Fiduciary, while obtaining verifiable consent from an individual identifying herself as the lawful guardian of a person with disability, shall observe due diligence to verify that such guardian is appointed by a court of law, or by a designated authority or by a local level committee, under the law applicable to guardianship.</t>
        </is>
      </c>
      <c r="D50" s="10" t="inlineStr">
        <is>
          <t>Gazette of India, Extraordinary, Part II, Section 3(i), G.S.R. 846(E), 13 November 2025</t>
        </is>
      </c>
    </row>
    <row r="51" ht="196" customHeight="1">
      <c r="A51" s="4" t="inlineStr">
        <is>
          <t>DPDP-Act-S10(2)</t>
        </is>
      </c>
      <c r="B51" s="10" t="inlineStr">
        <is>
          <t>Digital Personal Data Protection Act, 2023, Section 10(2)</t>
        </is>
      </c>
      <c r="C51" s="10" t="inlineStr">
        <is>
          <t>(2) The Significant Data Fiduciary shall— (a) appoint a Data Protection Officer who shall— (i) represent the Significant Data Fiduciary under the provisions of this Act; (ii) be based in India; (iii) be an individual responsible to the Board of Directors or similar governing body of the Significant Data Fiduciary; and (iv) be the point of contact for the grievance redressal mechanism under the provisions of this Act; (b) appoint an independent data auditor to carry out data audit, who shall evaluate the compliance of the Significant Data Fiduciary in accordance with the provisions of this Act; and (c) undertake the following other measures, namely:— (i) periodic Data Protection Impact Assessment, which shall be a process comprising a description of the rights of Data Principals and the purpose of processing of their personal data, assessment and management of the risk to the rights of the Data Principals, and such other matters regarding such process as may be prescribed; (ii) periodic audit; and (iii) such other measures, consistent with the provisions of this Act, as may be prescribed. [Note: as originally enacted. The Removal of Difficulties Order, 2026 is reported to replace “audit” with “data audit” in clause (c)(ii). Check the amended text.]</t>
        </is>
      </c>
      <c r="D51" s="10" t="inlineStr">
        <is>
          <t>Gazette of India, Extraordinary, Part II, Section 1, No. 25, 11 August 2023</t>
        </is>
      </c>
    </row>
    <row r="52" ht="196" customHeight="1">
      <c r="A52" s="4" t="inlineStr">
        <is>
          <t>DPDP-Rule-13</t>
        </is>
      </c>
      <c r="B52" s="10" t="inlineStr">
        <is>
          <t>Digital Personal Data Protection Rules, 2025, Rule 13(1) to 13(4)</t>
        </is>
      </c>
      <c r="C52" s="10" t="inlineStr">
        <is>
          <t>(1) A Significant Data Fiduciary shall, once in every period of twelve months from the date on which it is notified as such or is included in the class of Data Fiduciaries notified as such, undertake a Data Protection Impact Assessment and an audit to ensure effective observance of the provisions of this Act and the rules made thereunder. (2) A Significant Data Fiduciary shall cause the person carrying out the Data Protection Impact Assessment and audit to furnish to the Board a report containing significant observations in the Data Protection Impact Assessment and audit. (3) A Significant Data Fiduciary shall observe due diligence to verify that technical measures including algorithmic software adopted by it for hosting, display, uploading, modification, publishing, transmission, storage, updating or sharing of personal data processed by it are not likely to pose a risk to the rights of Data Principals. (4) A Significant Data Fiduciary shall undertake measures to ensure that personal data specified by the Central Government, on the basis of the recommendations of a committee constituted by it, is processed subject to the restriction that the personal data and the traffic data pertaining to its flow is not transferred outside the territory of India.</t>
        </is>
      </c>
      <c r="D52" s="10" t="inlineStr">
        <is>
          <t>Gazette of India, Extraordinary, Part II, Section 3(i), G.S.R. 846(E), 13 November 2025</t>
        </is>
      </c>
    </row>
    <row r="53" ht="84" customHeight="1">
      <c r="A53" s="4" t="inlineStr">
        <is>
          <t>DPDP-Act-S16</t>
        </is>
      </c>
      <c r="B53" s="10" t="inlineStr">
        <is>
          <t>Digital Personal Data Protection Act, 2023, Section 16(1) and Section 16(2)</t>
        </is>
      </c>
      <c r="C53" s="10" t="inlineStr">
        <is>
          <t>(1) The Central Government may, by notification, restrict the transfer of personal data by a Data Fiduciary for processing to such country or territory outside India as may be so notified. (2) Nothing contained in this section shall restrict the applicability of any law for the time being in force in India that provides for a higher degree of protection for or restriction on transfer of personal data by a Data Fiduciary outside India in relation to any personal data or Data Fiduciary or class thereof.</t>
        </is>
      </c>
      <c r="D53" s="10" t="inlineStr">
        <is>
          <t>Gazette of India, Extraordinary, Part II, Section 1, No. 25, 11 August 2023</t>
        </is>
      </c>
    </row>
    <row r="54" ht="70" customHeight="1">
      <c r="A54" s="4" t="inlineStr">
        <is>
          <t>DPDP-Act-S16</t>
        </is>
      </c>
      <c r="B54" s="10" t="inlineStr">
        <is>
          <t>Digital Personal Data Protection Rules, 2025, Rule 15</t>
        </is>
      </c>
      <c r="C54" s="10" t="inlineStr">
        <is>
          <t>15. Transfer of personal data outside the territory of India.— Any personal data processed by a Data Fiduciary under the Act may be transferred outside the territory of India subject to the restriction that the Data Fiduciary shall meet such requirements as the Central Government may, by general or special order, specify in respect of making such personal data available to any foreign State, or to any person or entity under the control of or any agency of such a State.</t>
        </is>
      </c>
      <c r="D54" s="10" t="inlineStr">
        <is>
          <t>Gazette of India, Extraordinary, Part II, Section 3(i), G.S.R. 846(E), 13 November 2025</t>
        </is>
      </c>
    </row>
    <row r="55" ht="45" customHeight="1">
      <c r="A55" s="4" t="inlineStr">
        <is>
          <t>DPDP-Rule-23</t>
        </is>
      </c>
      <c r="B55" s="10" t="inlineStr">
        <is>
          <t>Digital Personal Data Protection Act, 2023, Section 36</t>
        </is>
      </c>
      <c r="C55" s="10" t="inlineStr">
        <is>
          <t>The Central Government may, for the purposes of this Act, require the Board and any Data Fiduciary or intermediary to furnish such information as it may call for.</t>
        </is>
      </c>
      <c r="D55" s="10" t="inlineStr">
        <is>
          <t>Gazette of India, Extraordinary, Part II, Section 1, No. 25, 11 August 2023</t>
        </is>
      </c>
    </row>
    <row r="56" ht="112" customHeight="1">
      <c r="A56" s="4" t="inlineStr">
        <is>
          <t>DPDP-Rule-23</t>
        </is>
      </c>
      <c r="B56" s="10" t="inlineStr">
        <is>
          <t>Digital Personal Data Protection Rules, 2025, Rule 23(1) and 23(2)</t>
        </is>
      </c>
      <c r="C56" s="10" t="inlineStr">
        <is>
          <t>(1) The Central Government may, for such purposes of the Act as are specified in Seventh Schedule, acting through the corresponding authorised person specified in the said Schedule, require any Data Fiduciary or intermediary to furnish such information as may be called for, within the specified period as may be given in such. (2) Where the disclosure of furnishing of information as referred to in sub-rule (1) is likely to prejudicially affect the sovereignty and integrity of India or security of the State, the Central Government may require the Data Fiduciary or intermediary to not disclose such furnishing to affected Data Principal or any other person except with the previous permission, in writing, of the authorised person.</t>
        </is>
      </c>
      <c r="D56" s="10" t="inlineStr">
        <is>
          <t>Gazette of India, Extraordinary, Part II, Section 3(i), G.S.R. 846(E), 13 November 2025</t>
        </is>
      </c>
    </row>
    <row r="57" ht="112" customHeight="1">
      <c r="A57" s="4" t="inlineStr">
        <is>
          <t>DPDP-Act-S32</t>
        </is>
      </c>
      <c r="B57" s="10" t="inlineStr">
        <is>
          <t>Digital Personal Data Protection Act, 2023, Section 32(1), 32(4) and 32(5)</t>
        </is>
      </c>
      <c r="C57" s="10" t="inlineStr">
        <is>
          <t>(1) The Board may accept a voluntary undertaking in respect of any matter related to observance of the provisions of this Act from any person at any stage of a proceeding under section 28. … (4) The acceptance of the voluntary undertaking by the Board shall constitute a bar on proceedings under the provisions of this Act as regards the contents of the voluntary undertaking, except in cases covered by sub-section (5). (5) Where a person fails to adhere to any term of the voluntary undertaking accepted by the Board, such breach shall be deemed to be breach of the provisions of this Act and the Board may, after giving such person an opportunity of being heard, proceed in accordance with the provisions of section 33.</t>
        </is>
      </c>
      <c r="D57" s="10" t="inlineStr">
        <is>
          <t>Gazette of India, Extraordinary, Part II, Section 1, No. 25, 11 August 2023</t>
        </is>
      </c>
    </row>
    <row r="58" ht="45" customHeight="1">
      <c r="A58" s="4" t="inlineStr">
        <is>
          <t>DPDP-Act-S32</t>
        </is>
      </c>
      <c r="B58" s="10" t="inlineStr">
        <is>
          <t>Digital Personal Data Protection Act, 2023, Section 29(2)</t>
        </is>
      </c>
      <c r="C58" s="10" t="inlineStr">
        <is>
          <t>(2) Every appeal under sub-section (1) shall be filed within a period of sixty days from the date of receipt of the order or direction appealed against and it shall be in such form and manner and shall be accompanied by such fee as may be prescribed.</t>
        </is>
      </c>
      <c r="D58" s="10" t="inlineStr">
        <is>
          <t>Gazette of India, Extraordinary, Part II, Section 1, No. 25, 11 August 2023</t>
        </is>
      </c>
    </row>
    <row r="59" ht="45" customHeight="1">
      <c r="A59" s="4" t="inlineStr">
        <is>
          <t>DPDP-Act-S32</t>
        </is>
      </c>
      <c r="B59" s="10" t="inlineStr">
        <is>
          <t>Digital Personal Data Protection Rules, 2025, Rule 22(1)</t>
        </is>
      </c>
      <c r="C59" s="10" t="inlineStr">
        <is>
          <t>(1) Any person aggrieved by an order or direction of the Board, may prefer an appeal before the Appellate Tribunal, it shall be filed in digital form as the Appellate Tribunal may decide.</t>
        </is>
      </c>
      <c r="D59" s="10" t="inlineStr">
        <is>
          <t>Gazette of India, Extraordinary, Part II, Section 3(i), G.S.R. 846(E), 13 November 2025</t>
        </is>
      </c>
    </row>
    <row r="60" ht="56" customHeight="1">
      <c r="A60" s="4" t="inlineStr">
        <is>
          <t>DPDP-Act-S17(2)(b)</t>
        </is>
      </c>
      <c r="B60" s="10" t="inlineStr">
        <is>
          <t>Digital Personal Data Protection Act, 2023, Section 17(2)(b)</t>
        </is>
      </c>
      <c r="C60" s="10" t="inlineStr">
        <is>
          <t>(2) The provisions of this Act shall not apply in respect of the processing of personal data— … (b) necessary for research, archiving or statistical purposes if the personal data is not to be used to take any decision specific to a Data Principal and such processing is carried on in accordance with such standards as may be prescribed.</t>
        </is>
      </c>
      <c r="D60" s="10" t="inlineStr">
        <is>
          <t>Gazette of India, Extraordinary, Part II, Section 1, No. 25, 11 August 2023</t>
        </is>
      </c>
    </row>
    <row r="61" ht="56" customHeight="1">
      <c r="A61" s="4" t="inlineStr">
        <is>
          <t>DPDP-Act-S17(2)(b)</t>
        </is>
      </c>
      <c r="B61" s="10" t="inlineStr">
        <is>
          <t>Digital Personal Data Protection Rules, 2025, Rule 16</t>
        </is>
      </c>
      <c r="C61" s="10" t="inlineStr">
        <is>
          <t>16. Exemption from Act for research, archiving or statistical purposes. —The provisions of the Act shall not apply to the processing of personal data necessary for research, archiving or statistical purposes if it is carried on in accordance with the standards specified in Second Schedule.</t>
        </is>
      </c>
      <c r="D61" s="10" t="inlineStr">
        <is>
          <t>Gazette of India, Extraordinary, Part II, Section 3(i), G.S.R. 846(E), 13 November 2025</t>
        </is>
      </c>
    </row>
    <row r="62" ht="294" customHeight="1">
      <c r="A62" s="4" t="inlineStr">
        <is>
          <t>DPDP-Act-S17(1)</t>
        </is>
      </c>
      <c r="B62" s="10" t="inlineStr">
        <is>
          <t>Digital Personal Data Protection Act, 2023, Section 17(1)</t>
        </is>
      </c>
      <c r="C62" s="10" t="inlineStr">
        <is>
          <t>17. (1) The provisions of Chapter II, except sub-sections (1) and (5) of section 8, and those of Chapter III and section 16 shall not apply where— (a) the processing of personal data is necessary for enforcing any legal right or claim; (b) the processing of personal data by any court or tribunal or any other body in India which is entrusted by law with the performance of any judicial or quasi-judicial or regulatory or supervisory function, where such processing is necessary for the performance of such function; (c) personal data is processed in the interest of prevention, detection, investigation or prosecution of any offence or contravention of any law for the time being in force in India; (d) personal data of Data Principals not within the territory of India is processed pursuant to any contract entered into with any person outside the territory of India by any person based in India; (e) the processing is necessary for a scheme of compromise or arrangement or merger or amalgamation of two or more companies or a reconstruction by way of demerger or otherwise of a company, or transfer of undertaking of one or more company to another company, or involving division of one or more companies, approved by a court or tribunal or other authority competent to do so by any law for the time being in force; and (f) the processing is for the purpose of ascertaining the financial information and assets and liabilities of any person who has defaulted in payment due on account of a loan or advance taken from a financial institution, subject to such processing being in accordance with the provisions regarding disclosure of information or data in any other law for the time being in force. Explanation.—For the purposes of this clause, the expressions "default" and "financial institution" shall have the meanings respectively assigned to them in sub-sections (12) and (14) of section 3 of the Insolvency and Bankruptcy Code, 2016.</t>
        </is>
      </c>
      <c r="D62" s="10" t="inlineStr">
        <is>
          <t>Gazette of India, Extraordinary, Part II, Section 1, No. 25, 11 August 2023</t>
        </is>
      </c>
    </row>
    <row r="63" ht="98" customHeight="1">
      <c r="A63" s="4" t="inlineStr">
        <is>
          <t>DPDP-Act-S17(1)</t>
        </is>
      </c>
      <c r="B63" s="10" t="inlineStr">
        <is>
          <t>Digital Personal Data Protection Act, 2023, Section 17(3) and Section 17(5)</t>
        </is>
      </c>
      <c r="C63" s="10" t="inlineStr">
        <is>
          <t>(3) The Central Government may, having regard to the volume and nature of personal data processed, notify certain Data Fiduciaries or class of Data Fiduciaries, including startups, as Data Fiduciaries to whom the provisions of section 5, sub-sections (3) and (7) of section 8 and sections 10 and 11 shall not apply. … (5) The Central Government may, before expiry of five years from the date of commencement of this Act, by notification, declare that any provision of this Act shall not apply to such Data Fiduciary or classes of Data Fiduciaries for such period as may be specified in the notification.</t>
        </is>
      </c>
      <c r="D63" s="10" t="inlineStr">
        <is>
          <t>Gazette of India, Extraordinary, Part II, Section 1, No. 25, 11 August 2023</t>
        </is>
      </c>
    </row>
  </sheetData>
  <autoFilter ref="A4:D63"/>
  <pageMargins left="0.75" right="0.75" top="1" bottom="1" header="0.5" footer="0.5"/>
</worksheet>
</file>

<file path=xl/worksheets/sheet4.xml><?xml version="1.0" encoding="utf-8"?>
<worksheet xmlns="http://schemas.openxmlformats.org/spreadsheetml/2006/main">
  <sheetPr>
    <tabColor rgb="00FFB020"/>
    <outlinePr summaryBelow="1" summaryRight="1"/>
    <pageSetUpPr/>
  </sheetPr>
  <dimension ref="A1:H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34" customWidth="1" min="3" max="3"/>
    <col width="32" customWidth="1" min="4" max="4"/>
    <col width="36" customWidth="1" min="5" max="5"/>
    <col width="24" customWidth="1" min="6" max="6"/>
    <col width="24" customWidth="1" min="7" max="7"/>
    <col width="22" customWidth="1" min="8" max="8"/>
  </cols>
  <sheetData>
    <row r="1">
      <c r="A1" s="1" t="inlineStr">
        <is>
          <t>Event Playbook: what starts the clock</t>
        </is>
      </c>
    </row>
    <row r="2">
      <c r="A2" s="2" t="inlineStr">
        <is>
          <t>When something happens, find the row: the time limit, who acts, and the evidence to keep.</t>
        </is>
      </c>
    </row>
    <row r="4" ht="40" customHeight="1">
      <c r="A4" s="9" t="inlineStr">
        <is>
          <t>Event</t>
        </is>
      </c>
      <c r="B4" s="9" t="inlineStr">
        <is>
          <t>When the clock starts</t>
        </is>
      </c>
      <c r="C4" s="9" t="inlineStr">
        <is>
          <t>Time limit</t>
        </is>
      </c>
      <c r="D4" s="9" t="inlineStr">
        <is>
          <t>Governance team does</t>
        </is>
      </c>
      <c r="E4" s="9" t="inlineStr">
        <is>
          <t>Engineering does</t>
        </is>
      </c>
      <c r="F4" s="9" t="inlineStr">
        <is>
          <t>Legal provision</t>
        </is>
      </c>
      <c r="G4" s="9" t="inlineStr">
        <is>
          <t>Evidence to keep</t>
        </is>
      </c>
      <c r="H4" s="9" t="inlineStr">
        <is>
          <t>Control identifier</t>
        </is>
      </c>
    </row>
    <row r="5" ht="62" customHeight="1">
      <c r="A5" s="4" t="inlineStr">
        <is>
          <t>Consent is requested</t>
        </is>
      </c>
      <c r="B5" s="10" t="inlineStr">
        <is>
          <t>At the request</t>
        </is>
      </c>
      <c r="C5" s="10" t="inlineStr">
        <is>
          <t>Notice given with or before the request</t>
        </is>
      </c>
      <c r="D5" s="10" t="inlineStr">
        <is>
          <t>Approves the notice text and each language version</t>
        </is>
      </c>
      <c r="E5" s="10" t="inlineStr">
        <is>
          <t>Shows the notice first and records the notice version shown to each person</t>
        </is>
      </c>
      <c r="F5" s="10" t="inlineStr">
        <is>
          <t>Act Section 5(1); Rules Rule 3</t>
        </is>
      </c>
      <c r="G5" s="10" t="inlineStr">
        <is>
          <t>Record of notice versions shown</t>
        </is>
      </c>
      <c r="H5" s="10" t="inlineStr">
        <is>
          <t>DPDP-Act-S5(1)</t>
        </is>
      </c>
    </row>
    <row r="6" ht="62" customHeight="1">
      <c r="A6" s="4" t="inlineStr">
        <is>
          <t>Consent is withdrawn</t>
        </is>
      </c>
      <c r="B6" s="10" t="inlineStr">
        <is>
          <t>At withdrawal</t>
        </is>
      </c>
      <c r="C6" s="10" t="inlineStr">
        <is>
          <t>Stop processing within a reasonable time, and make Data Processors stop</t>
        </is>
      </c>
      <c r="D6" s="10" t="inlineStr">
        <is>
          <t>Sets the internal time limit</t>
        </is>
      </c>
      <c r="E6" s="10" t="inlineStr">
        <is>
          <t>Sends the withdrawal to every system and every Data Processor</t>
        </is>
      </c>
      <c r="F6" s="10" t="inlineStr">
        <is>
          <t>Act Section 6(4) to 6(6)</t>
        </is>
      </c>
      <c r="G6" s="10" t="inlineStr">
        <is>
          <t>Record of the withdrawal reaching each system</t>
        </is>
      </c>
      <c r="H6" s="10" t="inlineStr">
        <is>
          <t>DPDP-Act-S6(4)</t>
        </is>
      </c>
    </row>
    <row r="7" ht="62" customHeight="1">
      <c r="A7" s="4" t="inlineStr">
        <is>
          <t>The purpose is no longer served</t>
        </is>
      </c>
      <c r="B7" s="10" t="inlineStr">
        <is>
          <t>When the purpose ends</t>
        </is>
      </c>
      <c r="C7" s="10" t="inlineStr">
        <is>
          <t>Erase, and make Data Processors erase, unless the law requires retention</t>
        </is>
      </c>
      <c r="D7" s="10" t="inlineStr">
        <is>
          <t>Keeps the retention schedule with legal reasons</t>
        </is>
      </c>
      <c r="E7" s="10" t="inlineStr">
        <is>
          <t>Moves the record to the sealed state or erases it; each record has its own expiry date</t>
        </is>
      </c>
      <c r="F7" s="10" t="inlineStr">
        <is>
          <t>Act Section 8(7)</t>
        </is>
      </c>
      <c r="G7" s="10" t="inlineStr">
        <is>
          <t>Erasure job records</t>
        </is>
      </c>
      <c r="H7" s="10" t="inlineStr">
        <is>
          <t>DPDP-Act-S8(7)</t>
        </is>
      </c>
    </row>
    <row r="8" ht="62" customHeight="1">
      <c r="A8" s="4" t="inlineStr">
        <is>
          <t>Any processing event (an order, a payment, a login)</t>
        </is>
      </c>
      <c r="B8" s="10" t="inlineStr">
        <is>
          <t>The date of that event</t>
        </is>
      </c>
      <c r="C8" s="10" t="inlineStr">
        <is>
          <t>Keep the data, traffic data and logs for at least one year, then erase unless another law requires longer</t>
        </is>
      </c>
      <c r="D8" s="10" t="inlineStr">
        <is>
          <t>Records the legal reason for retention</t>
        </is>
      </c>
      <c r="E8" s="10" t="inlineStr">
        <is>
          <t>Sets an expiry date for each event; sealed store</t>
        </is>
      </c>
      <c r="F8" s="10" t="inlineStr">
        <is>
          <t>Rules Rule 8(3) and Rule 6(1)(e)</t>
        </is>
      </c>
      <c r="G8" s="10" t="inlineStr">
        <is>
          <t>Retention configuration</t>
        </is>
      </c>
      <c r="H8" s="10" t="inlineStr">
        <is>
          <t>DPDP-Rule-8(3) and DPDP-Rule-6(1)(e)</t>
        </is>
      </c>
    </row>
    <row r="9" ht="62" customHeight="1">
      <c r="A9" s="4" t="inlineStr">
        <is>
          <t>A person on a Third Schedule platform has not been in contact</t>
        </is>
      </c>
      <c r="B9" s="10" t="inlineStr">
        <is>
          <t>Her last contact, or the commencement of the Rules if later</t>
        </is>
      </c>
      <c r="C9" s="10" t="inlineStr">
        <is>
          <t>Erase after three years; notice at least 48 hours before</t>
        </is>
      </c>
      <c r="D9" s="10" t="inlineStr">
        <is>
          <t>Confirms the threshold applies</t>
        </is>
      </c>
      <c r="E9" s="10" t="inlineStr">
        <is>
          <t>Sends the notice 48 hours before; checks the last-contact date again when the erasure job runs</t>
        </is>
      </c>
      <c r="F9" s="10" t="inlineStr">
        <is>
          <t>Rules Rule 8(1) and 8(2); Third Schedule</t>
        </is>
      </c>
      <c r="G9" s="10" t="inlineStr">
        <is>
          <t>Notice and erasure records</t>
        </is>
      </c>
      <c r="H9" s="10" t="inlineStr">
        <is>
          <t>DPDP-Rule-8(1)</t>
        </is>
      </c>
    </row>
    <row r="10" ht="62" customHeight="1">
      <c r="A10" s="4" t="inlineStr">
        <is>
          <t>Request for access to personal data</t>
        </is>
      </c>
      <c r="B10" s="10" t="inlineStr">
        <is>
          <t>Receipt of the request</t>
        </is>
      </c>
      <c r="C10" s="10" t="inlineStr">
        <is>
          <t>No specific period in the Rules; grievances within the published period of not more than 90 days</t>
        </is>
      </c>
      <c r="D10" s="10" t="inlineStr">
        <is>
          <t>Identity check; internal time limit</t>
        </is>
      </c>
      <c r="E10" s="10" t="inlineStr">
        <is>
          <t>Produces the summary of data and the list of parties it was shared with</t>
        </is>
      </c>
      <c r="F10" s="10" t="inlineStr">
        <is>
          <t>Act Section 11; Rules Rule 14</t>
        </is>
      </c>
      <c r="G10" s="10" t="inlineStr">
        <is>
          <t>Request log</t>
        </is>
      </c>
      <c r="H10" s="10" t="inlineStr">
        <is>
          <t>DPDP-Act-S11(1)</t>
        </is>
      </c>
    </row>
    <row r="11" ht="62" customHeight="1">
      <c r="A11" s="4" t="inlineStr">
        <is>
          <t>Request for correction or erasure</t>
        </is>
      </c>
      <c r="B11" s="10" t="inlineStr">
        <is>
          <t>Receipt of the request</t>
        </is>
      </c>
      <c r="C11" s="10" t="inlineStr">
        <is>
          <t>No specific period in the Rules; grievances within the published period of not more than 90 days</t>
        </is>
      </c>
      <c r="D11" s="10" t="inlineStr">
        <is>
          <t>Decides when retention overrides erasure, with the legal reason</t>
        </is>
      </c>
      <c r="E11" s="10" t="inlineStr">
        <is>
          <t>Erases or corrects live copies and Data Processor copies; backups are not edited, they expire within weeks and the erasure register is re-applied on any restore; reply states what is erased, what is kept, why and until when</t>
        </is>
      </c>
      <c r="F11" s="10" t="inlineStr">
        <is>
          <t>Act Section 12; Rules Rule 14</t>
        </is>
      </c>
      <c r="G11" s="10" t="inlineStr">
        <is>
          <t>Request log; erasure evidence; copy of the reply</t>
        </is>
      </c>
      <c r="H11" s="10" t="inlineStr">
        <is>
          <t>DPDP-Act-S12</t>
        </is>
      </c>
    </row>
    <row r="12" ht="62" customHeight="1">
      <c r="A12" s="4" t="inlineStr">
        <is>
          <t>Grievance received</t>
        </is>
      </c>
      <c r="B12" s="10" t="inlineStr">
        <is>
          <t>Receipt</t>
        </is>
      </c>
      <c r="C12" s="10" t="inlineStr">
        <is>
          <t>Within the published period, not more than 90 days</t>
        </is>
      </c>
      <c r="D12" s="10" t="inlineStr">
        <is>
          <t>Tracks the time limit and escalates</t>
        </is>
      </c>
      <c r="E12" s="10" t="inlineStr">
        <is>
          <t>Time limits on tickets</t>
        </is>
      </c>
      <c r="F12" s="10" t="inlineStr">
        <is>
          <t>Act Section 13; Rules Rule 14(3)</t>
        </is>
      </c>
      <c r="G12" s="10" t="inlineStr">
        <is>
          <t>Time-limit report</t>
        </is>
      </c>
      <c r="H12" s="10" t="inlineStr">
        <is>
          <t>DPDP-Act-S13</t>
        </is>
      </c>
    </row>
    <row r="13" ht="62" customHeight="1">
      <c r="A13" s="4" t="inlineStr">
        <is>
          <t>Personal data breach discovered</t>
        </is>
      </c>
      <c r="B13" s="10" t="inlineStr">
        <is>
          <t>Becoming aware of the breach</t>
        </is>
      </c>
      <c r="C13" s="10" t="inlineStr">
        <is>
          <t>Affected people: without delay. Data Protection Board: initial description without delay, detailed report within 72 hours</t>
        </is>
      </c>
      <c r="D13" s="10" t="inlineStr">
        <is>
          <t>Runs the breach procedure; approves messages; asks the Board in writing for more time if needed</t>
        </is>
      </c>
      <c r="E13" s="10" t="inlineStr">
        <is>
          <t>Identifies affected people; rebuilds the timeline from logs</t>
        </is>
      </c>
      <c r="F13" s="10" t="inlineStr">
        <is>
          <t>Act Section 8(6); Rules Rule 7</t>
        </is>
      </c>
      <c r="G13" s="10" t="inlineStr">
        <is>
          <t>Submissions to the Board; notices sent</t>
        </is>
      </c>
      <c r="H13" s="10" t="inlineStr">
        <is>
          <t>DPDP-Rule-7(1) and DPDP-Rule-7(2)</t>
        </is>
      </c>
    </row>
    <row r="14" ht="62" customHeight="1">
      <c r="A14" s="4" t="inlineStr">
        <is>
          <t>A child signs up or a child's data is collected</t>
        </is>
      </c>
      <c r="B14" s="10" t="inlineStr">
        <is>
          <t>Before processing</t>
        </is>
      </c>
      <c r="C14" s="10" t="inlineStr">
        <is>
          <t>Verifiable consent of a parent first</t>
        </is>
      </c>
      <c r="D14" s="10" t="inlineStr">
        <is>
          <t>Age assurance policy</t>
        </is>
      </c>
      <c r="E14" s="10" t="inlineStr">
        <is>
          <t>Age check and parent verification</t>
        </is>
      </c>
      <c r="F14" s="10" t="inlineStr">
        <is>
          <t>Act Section 9; Rules Rule 10</t>
        </is>
      </c>
      <c r="G14" s="10" t="inlineStr">
        <is>
          <t>Verification records</t>
        </is>
      </c>
      <c r="H14" s="10" t="inlineStr">
        <is>
          <t>DPDP-Act-S9(1)</t>
        </is>
      </c>
    </row>
    <row r="15" ht="62" customHeight="1">
      <c r="A15" s="4" t="inlineStr">
        <is>
          <t>A new vendor will receive personal data</t>
        </is>
      </c>
      <c r="B15" s="10" t="inlineStr">
        <is>
          <t>Before the engagement</t>
        </is>
      </c>
      <c r="C15" s="10" t="inlineStr">
        <is>
          <t>A valid contract with security safeguards first</t>
        </is>
      </c>
      <c r="D15" s="10" t="inlineStr">
        <is>
          <t>Due diligence; contract clauses</t>
        </is>
      </c>
      <c r="E15" s="10" t="inlineStr">
        <is>
          <t>Adds the vendor to the inventory of data flows</t>
        </is>
      </c>
      <c r="F15" s="10" t="inlineStr">
        <is>
          <t>Act Section 8(2); Rules Rule 6(1)(f)</t>
        </is>
      </c>
      <c r="G15" s="10" t="inlineStr">
        <is>
          <t>Signed contract; vendor register</t>
        </is>
      </c>
      <c r="H15" s="10" t="inlineStr">
        <is>
          <t>DPDP-Act-S8(1) and DPDP-Rule-6(1)(f)</t>
        </is>
      </c>
    </row>
    <row r="16" ht="62" customHeight="1">
      <c r="A16" s="4" t="inlineStr">
        <is>
          <t>Data is to be transferred outside India</t>
        </is>
      </c>
      <c r="B16" s="10" t="inlineStr">
        <is>
          <t>Before the transfer</t>
        </is>
      </c>
      <c r="C16" s="10" t="inlineStr">
        <is>
          <t>Confirm there is no Government restriction for that country; check sector rules</t>
        </is>
      </c>
      <c r="D16" s="10" t="inlineStr">
        <is>
          <t>Register of transfers</t>
        </is>
      </c>
      <c r="E16" s="10" t="inlineStr">
        <is>
          <t>Inventory of regions</t>
        </is>
      </c>
      <c r="F16" s="10" t="inlineStr">
        <is>
          <t>Act Section 16; Rules Rule 15</t>
        </is>
      </c>
      <c r="G16" s="10" t="inlineStr">
        <is>
          <t>Register of transfers</t>
        </is>
      </c>
      <c r="H16" s="10" t="inlineStr">
        <is>
          <t>DPDP-Act-S16</t>
        </is>
      </c>
    </row>
    <row r="17" ht="62" customHeight="1">
      <c r="A17" s="4" t="inlineStr">
        <is>
          <t>Notified as a Significant Data Fiduciary</t>
        </is>
      </c>
      <c r="B17" s="10" t="inlineStr">
        <is>
          <t>Date of notification</t>
        </is>
      </c>
      <c r="C17" s="10" t="inlineStr">
        <is>
          <t>Data Protection Officer and auditor; impact assessment and audit every twelve months; report to the Board</t>
        </is>
      </c>
      <c r="D17" s="10" t="inlineStr">
        <is>
          <t>Appoints the officer and auditor; plans the assessment calendar</t>
        </is>
      </c>
      <c r="E17" s="10" t="inlineStr">
        <is>
          <t>Provides the data inventory for the assessment; controls on data location</t>
        </is>
      </c>
      <c r="F17" s="10" t="inlineStr">
        <is>
          <t>Act Section 10; Rules Rule 13</t>
        </is>
      </c>
      <c r="G17" s="10" t="inlineStr">
        <is>
          <t>Assessment and audit reports</t>
        </is>
      </c>
      <c r="H17" s="10" t="inlineStr">
        <is>
          <t>DPDP-Act-S10(2) and DPDP-Rule-13</t>
        </is>
      </c>
    </row>
    <row r="18" ht="62" customHeight="1">
      <c r="A18" s="4" t="inlineStr">
        <is>
          <t>Request for information from the Government</t>
        </is>
      </c>
      <c r="B18" s="10" t="inlineStr">
        <is>
          <t>Receipt</t>
        </is>
      </c>
      <c r="C18" s="10" t="inlineStr">
        <is>
          <t>Within the period stated; confidentiality if directed</t>
        </is>
      </c>
      <c r="D18" s="10" t="inlineStr">
        <is>
          <t>Request procedure</t>
        </is>
      </c>
      <c r="E18" s="10" t="inlineStr">
        <is>
          <t>Retrieves retained data and logs; blocks automatic customer notices if confidentiality is directed</t>
        </is>
      </c>
      <c r="F18" s="10" t="inlineStr">
        <is>
          <t>Act Section 36; Rules Rule 23</t>
        </is>
      </c>
      <c r="G18" s="10" t="inlineStr">
        <is>
          <t>Register of requests</t>
        </is>
      </c>
      <c r="H18" s="10" t="inlineStr">
        <is>
          <t>DPDP-Rule-23</t>
        </is>
      </c>
    </row>
    <row r="19" ht="62" customHeight="1">
      <c r="A19" s="4" t="inlineStr">
        <is>
          <t>Order or direction of the Data Protection Board</t>
        </is>
      </c>
      <c r="B19" s="10" t="inlineStr">
        <is>
          <t>Date of the order</t>
        </is>
      </c>
      <c r="C19" s="10" t="inlineStr">
        <is>
          <t>Appeal to the Appellate Tribunal within 60 days</t>
        </is>
      </c>
      <c r="D19" s="10" t="inlineStr">
        <is>
          <t>Legal review</t>
        </is>
      </c>
      <c r="E19" s="10" t="inlineStr">
        <is>
          <t>Prepares the evidence</t>
        </is>
      </c>
      <c r="F19" s="10" t="inlineStr">
        <is>
          <t>Act Section 29; Rules Rule 22</t>
        </is>
      </c>
      <c r="G19" s="10" t="inlineStr">
        <is>
          <t>Appeal file</t>
        </is>
      </c>
      <c r="H19" s="10" t="inlineStr">
        <is>
          <t>DPDP-Act-S32</t>
        </is>
      </c>
    </row>
  </sheetData>
  <autoFilter ref="A4:H19"/>
  <pageMargins left="0.75" right="0.75" top="1" bottom="1" header="0.5" footer="0.5"/>
</worksheet>
</file>

<file path=xl/worksheets/sheet5.xml><?xml version="1.0" encoding="utf-8"?>
<worksheet xmlns="http://schemas.openxmlformats.org/spreadsheetml/2006/main">
  <sheetPr>
    <tabColor rgb="002EE6A6"/>
    <outlinePr summaryBelow="1" summaryRight="1"/>
    <pageSetUpPr/>
  </sheetPr>
  <dimension ref="A1:G12"/>
  <sheetViews>
    <sheetView workbookViewId="0">
      <selection activeCell="A1" sqref="A1"/>
    </sheetView>
  </sheetViews>
  <sheetFormatPr baseColWidth="8" defaultRowHeight="15"/>
  <cols>
    <col width="16" customWidth="1" min="1" max="1"/>
    <col width="40" customWidth="1" min="2" max="2"/>
    <col width="58" customWidth="1" min="3" max="3"/>
    <col width="36" customWidth="1" min="4" max="4"/>
    <col width="24" customWidth="1" min="5" max="5"/>
    <col width="18" customWidth="1" min="6" max="6"/>
    <col width="11" customWidth="1" min="7" max="7"/>
  </cols>
  <sheetData>
    <row r="1">
      <c r="A1" s="1" t="inlineStr">
        <is>
          <t>Timeline: what is in force and what is coming</t>
        </is>
      </c>
    </row>
    <row r="2">
      <c r="A2" s="2" t="inlineStr">
        <is>
          <t>Status and days remaining are calculated from today's date.</t>
        </is>
      </c>
    </row>
    <row r="4" ht="40" customHeight="1">
      <c r="A4" s="9" t="inlineStr">
        <is>
          <t>Date</t>
        </is>
      </c>
      <c r="B4" s="9" t="inlineStr">
        <is>
          <t>Milestone</t>
        </is>
      </c>
      <c r="C4" s="9" t="inlineStr">
        <is>
          <t>What it means</t>
        </is>
      </c>
      <c r="D4" s="9" t="inlineStr">
        <is>
          <t>Source</t>
        </is>
      </c>
      <c r="E4" s="9" t="inlineStr">
        <is>
          <t>Reliability of source</t>
        </is>
      </c>
      <c r="F4" s="9" t="inlineStr">
        <is>
          <t>Status</t>
        </is>
      </c>
      <c r="G4" s="9" t="inlineStr">
        <is>
          <t>Days remaining</t>
        </is>
      </c>
    </row>
    <row r="5" ht="64" customHeight="1">
      <c r="A5" s="17" t="n">
        <v>45149</v>
      </c>
      <c r="B5" s="4" t="inlineStr">
        <is>
          <t>The Act receives assent and is published</t>
        </is>
      </c>
      <c r="C5" s="10" t="inlineStr">
        <is>
          <t>The Act exists, but its provisions apply only when notified (Section 1(2)).</t>
        </is>
      </c>
      <c r="D5" s="10" t="inlineStr">
        <is>
          <t>Gazette of India, 11 August 2023 (copy of the Act provided)</t>
        </is>
      </c>
      <c r="E5" s="10" t="inlineStr">
        <is>
          <t>Primary source</t>
        </is>
      </c>
      <c r="F5" s="18">
        <f>IF(A5="","To watch",IF(A5&lt;=TODAY(),"In force or completed","Upcoming"))</f>
        <v/>
      </c>
      <c r="G5" s="16">
        <f>IF(A5="","",MAX(0,A5-TODAY()))</f>
        <v/>
      </c>
    </row>
    <row r="6" ht="64" customHeight="1">
      <c r="A6" s="17" t="n">
        <v>45974</v>
      </c>
      <c r="B6" s="4" t="inlineStr">
        <is>
          <t>The Rules are notified (G.S.R. 846(E)); Rules 1, 2 and 17 to 21 come into force</t>
        </is>
      </c>
      <c r="C6" s="10" t="inlineStr">
        <is>
          <t>The Data Protection Board provisions start. Reports say the Board's Chairperson and Members had still not been appointed in August and September 2026.</t>
        </is>
      </c>
      <c r="D6" s="10" t="inlineStr">
        <is>
          <t>Rules, Rule 1(2); LiveLaw (1 August 2026); ConsentOS (updated 9 October 2026)</t>
        </is>
      </c>
      <c r="E6" s="10" t="inlineStr">
        <is>
          <t>Primary for the Rules; secondary for the Board's status</t>
        </is>
      </c>
      <c r="F6" s="18">
        <f>IF(A6="","To watch",IF(A6&lt;=TODAY(),"In force or completed","Upcoming"))</f>
        <v/>
      </c>
      <c r="G6" s="16">
        <f>IF(A6="","",MAX(0,A6-TODAY()))</f>
        <v/>
      </c>
    </row>
    <row r="7" ht="64" customHeight="1">
      <c r="A7" s="17" t="n">
        <v>46300</v>
      </c>
      <c r="B7" s="4" t="inlineStr">
        <is>
          <t>Digital Personal Data Protection (Removal of Difficulties) Order, 2026</t>
        </is>
      </c>
      <c r="C7" s="10" t="inlineStr">
        <is>
          <t>Wording corrections only: Section 9(1) (the word 'of' before 'a person with disability') and Section 10(2)(c)(ii) ('data audit'). No change to dates was reported.</t>
        </is>
      </c>
      <c r="D7" s="10" t="inlineStr">
        <is>
          <t>India Briefing summary</t>
        </is>
      </c>
      <c r="E7" s="10" t="inlineStr">
        <is>
          <t>Secondary source</t>
        </is>
      </c>
      <c r="F7" s="18">
        <f>IF(A7="","To watch",IF(A7&lt;=TODAY(),"In force or completed","Upcoming"))</f>
        <v/>
      </c>
      <c r="G7" s="16">
        <f>IF(A7="","",MAX(0,A7-TODAY()))</f>
        <v/>
      </c>
    </row>
    <row r="8" ht="64" customHeight="1">
      <c r="A8" s="17" t="n">
        <v>46339</v>
      </c>
      <c r="B8" s="4" t="inlineStr">
        <is>
          <t>Rule 4 comes into force: Consent Manager registration opens</t>
        </is>
      </c>
      <c r="C8" s="10" t="inlineStr">
        <is>
          <t>Consent Managers can register with the Board. Section 6(9) of the Act is reported to come into force the same day.</t>
        </is>
      </c>
      <c r="D8" s="10" t="inlineStr">
        <is>
          <t>Rules, Rule 1(3); ProtectComply; ConsentOS</t>
        </is>
      </c>
      <c r="E8" s="10" t="inlineStr">
        <is>
          <t>Primary for the Rule; secondary for the Act section</t>
        </is>
      </c>
      <c r="F8" s="18">
        <f>IF(A8="","To watch",IF(A8&lt;=TODAY(),"In force or completed","Upcoming"))</f>
        <v/>
      </c>
      <c r="G8" s="16">
        <f>IF(A8="","",MAX(0,A8-TODAY()))</f>
        <v/>
      </c>
    </row>
    <row r="9" ht="64" customHeight="1">
      <c r="A9" s="17" t="n">
        <v>46520</v>
      </c>
      <c r="B9" s="4" t="inlineStr">
        <is>
          <t>Rules 3, 5 to 16, 22 and 23 come into force: main obligations apply</t>
        </is>
      </c>
      <c r="C9" s="10" t="inlineStr">
        <is>
          <t>Notice, security, breach, retention and erasure, rights, children and Significant Data Fiduciary duties apply. The penalty provisions (Sections 28 to 34) are reported to come into force the same day.</t>
        </is>
      </c>
      <c r="D9" s="10" t="inlineStr">
        <is>
          <t>Rules, Rule 1(4); ProtectComply; ConsentOS</t>
        </is>
      </c>
      <c r="E9" s="10" t="inlineStr">
        <is>
          <t>Primary for the Rules; secondary for the Act sections</t>
        </is>
      </c>
      <c r="F9" s="18">
        <f>IF(A9="","To watch",IF(A9&lt;=TODAY(),"In force or completed","Upcoming"))</f>
        <v/>
      </c>
      <c r="G9" s="16">
        <f>IF(A9="","",MAX(0,A9-TODAY()))</f>
        <v/>
      </c>
    </row>
    <row r="10" ht="64" customHeight="1">
      <c r="A10" s="17" t="n"/>
      <c r="B10" s="4" t="inlineStr">
        <is>
          <t>To watch: proposal by the Ministry to shorten the 18 months to 12</t>
        </is>
      </c>
      <c r="C10" s="10" t="inlineStr">
        <is>
          <t>Proposed in January 2026 (comments by 4 February 2026). It would move the dates to 13 November 2026 and bring Rule 8(3) into force earlier. Not notified according to the sources checked.</t>
        </is>
      </c>
      <c r="D10" s="10" t="inlineStr">
        <is>
          <t>S.S. Rana and Co. (13 February 2026); ConsentOS (9 October 2026)</t>
        </is>
      </c>
      <c r="E10" s="10" t="inlineStr">
        <is>
          <t>Not confirmed</t>
        </is>
      </c>
      <c r="F10" s="18">
        <f>IF(A10="","To watch",IF(A10&lt;=TODAY(),"In force or completed","Upcoming"))</f>
        <v/>
      </c>
      <c r="G10" s="16">
        <f>IF(A10="","",MAX(0,A10-TODAY()))</f>
        <v/>
      </c>
    </row>
    <row r="11" ht="64" customHeight="1">
      <c r="A11" s="17" t="n"/>
      <c r="B11" s="4" t="inlineStr">
        <is>
          <t>To watch: notification of Significant Data Fiduciaries</t>
        </is>
      </c>
      <c r="C11" s="10" t="inlineStr">
        <is>
          <t>The Government may notify them under Section 10(1); Rule 13 obligations run from the notification.</t>
        </is>
      </c>
      <c r="D11" s="10" t="inlineStr">
        <is>
          <t>Act Section 10; Rules Rule 13</t>
        </is>
      </c>
      <c r="E11" s="10" t="inlineStr">
        <is>
          <t>Pending</t>
        </is>
      </c>
      <c r="F11" s="18">
        <f>IF(A11="","To watch",IF(A11&lt;=TODAY(),"In force or completed","Upcoming"))</f>
        <v/>
      </c>
      <c r="G11" s="16">
        <f>IF(A11="","",MAX(0,A11-TODAY()))</f>
        <v/>
      </c>
    </row>
    <row r="12" ht="64" customHeight="1">
      <c r="A12" s="17" t="n"/>
      <c r="B12" s="4" t="inlineStr">
        <is>
          <t>To watch: clarification of the scope of Rule 8(3)</t>
        </is>
      </c>
      <c r="C12" s="10" t="inlineStr">
        <is>
          <t>The text links retention to the Seventh Schedule purposes; the illustration reads more widely. A clarification was requested in a letter dated 10 June 2026.</t>
        </is>
      </c>
      <c r="D12" s="10" t="inlineStr">
        <is>
          <t>Aparajitha recommendation letter; NALSAR Tech Law Forum (14 April 2026)</t>
        </is>
      </c>
      <c r="E12" s="10" t="inlineStr">
        <is>
          <t>Pending</t>
        </is>
      </c>
      <c r="F12" s="18">
        <f>IF(A12="","To watch",IF(A12&lt;=TODAY(),"In force or completed","Upcoming"))</f>
        <v/>
      </c>
      <c r="G12" s="16">
        <f>IF(A12="","",MAX(0,A12-TODAY()))</f>
        <v/>
      </c>
    </row>
  </sheetData>
  <conditionalFormatting sqref="F5:F12">
    <cfRule type="cellIs" priority="1" operator="equal" dxfId="1">
      <formula>"Upcoming"</formula>
    </cfRule>
    <cfRule type="cellIs" priority="2" operator="equal" dxfId="0">
      <formula>"In force or completed"</formula>
    </cfRule>
    <cfRule type="cellIs" priority="3" operator="equal" dxfId="5">
      <formula>"To watch"</formula>
    </cfRule>
  </conditionalFormatting>
  <pageMargins left="0.75" right="0.75" top="1" bottom="1" header="0.5" footer="0.5"/>
</worksheet>
</file>

<file path=xl/worksheets/sheet6.xml><?xml version="1.0" encoding="utf-8"?>
<worksheet xmlns="http://schemas.openxmlformats.org/spreadsheetml/2006/main">
  <sheetPr>
    <tabColor rgb="00C00000"/>
    <outlinePr summaryBelow="1" summaryRight="1"/>
    <pageSetUpPr/>
  </sheetPr>
  <dimension ref="A1:I18"/>
  <sheetViews>
    <sheetView workbookViewId="0">
      <selection activeCell="A1" sqref="A1"/>
    </sheetView>
  </sheetViews>
  <sheetFormatPr baseColWidth="8" defaultRowHeight="15"/>
  <cols>
    <col width="32" customWidth="1" min="1" max="1"/>
    <col width="14" customWidth="1" min="2" max="2"/>
    <col width="13" customWidth="1" min="3" max="3"/>
    <col width="12" customWidth="1" min="4" max="4"/>
    <col width="16" customWidth="1" min="5" max="5"/>
    <col width="10" customWidth="1" min="6" max="6"/>
    <col width="14" customWidth="1" min="7" max="7"/>
    <col width="22" customWidth="1" min="8" max="8"/>
    <col width="14" customWidth="1" min="9" max="9"/>
  </cols>
  <sheetData>
    <row r="1">
      <c r="A1" s="1" t="inlineStr">
        <is>
          <t>Gap Summary</t>
        </is>
      </c>
    </row>
    <row r="2">
      <c r="A2" s="2" t="inlineStr">
        <is>
          <t>Counts are calculated from the column 'Current status' in the Obligations Matrix.</t>
        </is>
      </c>
    </row>
    <row r="4" ht="40" customHeight="1">
      <c r="A4" s="9" t="inlineStr">
        <is>
          <t>Area</t>
        </is>
      </c>
      <c r="B4" s="9" t="inlineStr">
        <is>
          <t>Number of obligations</t>
        </is>
      </c>
      <c r="C4" s="9" t="inlineStr">
        <is>
          <t>Not assessed</t>
        </is>
      </c>
      <c r="D4" s="9" t="inlineStr">
        <is>
          <t>Not started</t>
        </is>
      </c>
      <c r="E4" s="9" t="inlineStr">
        <is>
          <t>Partially in place</t>
        </is>
      </c>
      <c r="F4" s="9" t="inlineStr">
        <is>
          <t>In place</t>
        </is>
      </c>
      <c r="G4" s="9" t="inlineStr">
        <is>
          <t>Not applicable</t>
        </is>
      </c>
      <c r="H4" s="9" t="inlineStr">
        <is>
          <t>Share in place (excluding not applicable)</t>
        </is>
      </c>
      <c r="I4" s="9" t="inlineStr">
        <is>
          <t>Open Priority 1 items</t>
        </is>
      </c>
    </row>
    <row r="5">
      <c r="A5" s="4" t="inlineStr">
        <is>
          <t>Lawful basis</t>
        </is>
      </c>
      <c r="B5" s="18">
        <f>COUNTIF('Obligations Matrix'!$B$5:$B$44,A5)</f>
        <v/>
      </c>
      <c r="C5" s="18">
        <f>COUNTIFS('Obligations Matrix'!$B$5:$B$44,$A5,'Obligations Matrix'!$R$5:$R$44,"Not assessed")</f>
        <v/>
      </c>
      <c r="D5" s="18">
        <f>COUNTIFS('Obligations Matrix'!$B$5:$B$44,$A5,'Obligations Matrix'!$R$5:$R$44,"Not started")</f>
        <v/>
      </c>
      <c r="E5" s="18">
        <f>COUNTIFS('Obligations Matrix'!$B$5:$B$44,$A5,'Obligations Matrix'!$R$5:$R$44,"Partially in place")</f>
        <v/>
      </c>
      <c r="F5" s="18">
        <f>COUNTIFS('Obligations Matrix'!$B$5:$B$44,$A5,'Obligations Matrix'!$R$5:$R$44,"In place")</f>
        <v/>
      </c>
      <c r="G5" s="18">
        <f>COUNTIFS('Obligations Matrix'!$B$5:$B$44,$A5,'Obligations Matrix'!$R$5:$R$44,"Not applicable to this organisation")</f>
        <v/>
      </c>
      <c r="H5" s="19">
        <f>IFERROR(F5/(B5-G5),0)</f>
        <v/>
      </c>
      <c r="I5" s="20">
        <f>COUNTIFS('Obligations Matrix'!$B$5:$B$44,$A5,'Obligations Matrix'!$V$5:$V$44,"Priority 1")</f>
        <v/>
      </c>
    </row>
    <row r="6">
      <c r="A6" s="4" t="inlineStr">
        <is>
          <t>Notice</t>
        </is>
      </c>
      <c r="B6" s="18">
        <f>COUNTIF('Obligations Matrix'!$B$5:$B$44,A6)</f>
        <v/>
      </c>
      <c r="C6" s="18">
        <f>COUNTIFS('Obligations Matrix'!$B$5:$B$44,$A6,'Obligations Matrix'!$R$5:$R$44,"Not assessed")</f>
        <v/>
      </c>
      <c r="D6" s="18">
        <f>COUNTIFS('Obligations Matrix'!$B$5:$B$44,$A6,'Obligations Matrix'!$R$5:$R$44,"Not started")</f>
        <v/>
      </c>
      <c r="E6" s="18">
        <f>COUNTIFS('Obligations Matrix'!$B$5:$B$44,$A6,'Obligations Matrix'!$R$5:$R$44,"Partially in place")</f>
        <v/>
      </c>
      <c r="F6" s="18">
        <f>COUNTIFS('Obligations Matrix'!$B$5:$B$44,$A6,'Obligations Matrix'!$R$5:$R$44,"In place")</f>
        <v/>
      </c>
      <c r="G6" s="18">
        <f>COUNTIFS('Obligations Matrix'!$B$5:$B$44,$A6,'Obligations Matrix'!$R$5:$R$44,"Not applicable to this organisation")</f>
        <v/>
      </c>
      <c r="H6" s="19">
        <f>IFERROR(F6/(B6-G6),0)</f>
        <v/>
      </c>
      <c r="I6" s="20">
        <f>COUNTIFS('Obligations Matrix'!$B$5:$B$44,$A6,'Obligations Matrix'!$V$5:$V$44,"Priority 1")</f>
        <v/>
      </c>
    </row>
    <row r="7">
      <c r="A7" s="4" t="inlineStr">
        <is>
          <t>Consent</t>
        </is>
      </c>
      <c r="B7" s="18">
        <f>COUNTIF('Obligations Matrix'!$B$5:$B$44,A7)</f>
        <v/>
      </c>
      <c r="C7" s="18">
        <f>COUNTIFS('Obligations Matrix'!$B$5:$B$44,$A7,'Obligations Matrix'!$R$5:$R$44,"Not assessed")</f>
        <v/>
      </c>
      <c r="D7" s="18">
        <f>COUNTIFS('Obligations Matrix'!$B$5:$B$44,$A7,'Obligations Matrix'!$R$5:$R$44,"Not started")</f>
        <v/>
      </c>
      <c r="E7" s="18">
        <f>COUNTIFS('Obligations Matrix'!$B$5:$B$44,$A7,'Obligations Matrix'!$R$5:$R$44,"Partially in place")</f>
        <v/>
      </c>
      <c r="F7" s="18">
        <f>COUNTIFS('Obligations Matrix'!$B$5:$B$44,$A7,'Obligations Matrix'!$R$5:$R$44,"In place")</f>
        <v/>
      </c>
      <c r="G7" s="18">
        <f>COUNTIFS('Obligations Matrix'!$B$5:$B$44,$A7,'Obligations Matrix'!$R$5:$R$44,"Not applicable to this organisation")</f>
        <v/>
      </c>
      <c r="H7" s="19">
        <f>IFERROR(F7/(B7-G7),0)</f>
        <v/>
      </c>
      <c r="I7" s="20">
        <f>COUNTIFS('Obligations Matrix'!$B$5:$B$44,$A7,'Obligations Matrix'!$V$5:$V$44,"Priority 1")</f>
        <v/>
      </c>
    </row>
    <row r="8">
      <c r="A8" s="4" t="inlineStr">
        <is>
          <t>Accountability</t>
        </is>
      </c>
      <c r="B8" s="18">
        <f>COUNTIF('Obligations Matrix'!$B$5:$B$44,A8)</f>
        <v/>
      </c>
      <c r="C8" s="18">
        <f>COUNTIFS('Obligations Matrix'!$B$5:$B$44,$A8,'Obligations Matrix'!$R$5:$R$44,"Not assessed")</f>
        <v/>
      </c>
      <c r="D8" s="18">
        <f>COUNTIFS('Obligations Matrix'!$B$5:$B$44,$A8,'Obligations Matrix'!$R$5:$R$44,"Not started")</f>
        <v/>
      </c>
      <c r="E8" s="18">
        <f>COUNTIFS('Obligations Matrix'!$B$5:$B$44,$A8,'Obligations Matrix'!$R$5:$R$44,"Partially in place")</f>
        <v/>
      </c>
      <c r="F8" s="18">
        <f>COUNTIFS('Obligations Matrix'!$B$5:$B$44,$A8,'Obligations Matrix'!$R$5:$R$44,"In place")</f>
        <v/>
      </c>
      <c r="G8" s="18">
        <f>COUNTIFS('Obligations Matrix'!$B$5:$B$44,$A8,'Obligations Matrix'!$R$5:$R$44,"Not applicable to this organisation")</f>
        <v/>
      </c>
      <c r="H8" s="19">
        <f>IFERROR(F8/(B8-G8),0)</f>
        <v/>
      </c>
      <c r="I8" s="20">
        <f>COUNTIFS('Obligations Matrix'!$B$5:$B$44,$A8,'Obligations Matrix'!$V$5:$V$44,"Priority 1")</f>
        <v/>
      </c>
    </row>
    <row r="9">
      <c r="A9" s="4" t="inlineStr">
        <is>
          <t>Security</t>
        </is>
      </c>
      <c r="B9" s="18">
        <f>COUNTIF('Obligations Matrix'!$B$5:$B$44,A9)</f>
        <v/>
      </c>
      <c r="C9" s="18">
        <f>COUNTIFS('Obligations Matrix'!$B$5:$B$44,$A9,'Obligations Matrix'!$R$5:$R$44,"Not assessed")</f>
        <v/>
      </c>
      <c r="D9" s="18">
        <f>COUNTIFS('Obligations Matrix'!$B$5:$B$44,$A9,'Obligations Matrix'!$R$5:$R$44,"Not started")</f>
        <v/>
      </c>
      <c r="E9" s="18">
        <f>COUNTIFS('Obligations Matrix'!$B$5:$B$44,$A9,'Obligations Matrix'!$R$5:$R$44,"Partially in place")</f>
        <v/>
      </c>
      <c r="F9" s="18">
        <f>COUNTIFS('Obligations Matrix'!$B$5:$B$44,$A9,'Obligations Matrix'!$R$5:$R$44,"In place")</f>
        <v/>
      </c>
      <c r="G9" s="18">
        <f>COUNTIFS('Obligations Matrix'!$B$5:$B$44,$A9,'Obligations Matrix'!$R$5:$R$44,"Not applicable to this organisation")</f>
        <v/>
      </c>
      <c r="H9" s="19">
        <f>IFERROR(F9/(B9-G9),0)</f>
        <v/>
      </c>
      <c r="I9" s="20">
        <f>COUNTIFS('Obligations Matrix'!$B$5:$B$44,$A9,'Obligations Matrix'!$V$5:$V$44,"Priority 1")</f>
        <v/>
      </c>
    </row>
    <row r="10">
      <c r="A10" s="4" t="inlineStr">
        <is>
          <t>Breach</t>
        </is>
      </c>
      <c r="B10" s="18">
        <f>COUNTIF('Obligations Matrix'!$B$5:$B$44,A10)</f>
        <v/>
      </c>
      <c r="C10" s="18">
        <f>COUNTIFS('Obligations Matrix'!$B$5:$B$44,$A10,'Obligations Matrix'!$R$5:$R$44,"Not assessed")</f>
        <v/>
      </c>
      <c r="D10" s="18">
        <f>COUNTIFS('Obligations Matrix'!$B$5:$B$44,$A10,'Obligations Matrix'!$R$5:$R$44,"Not started")</f>
        <v/>
      </c>
      <c r="E10" s="18">
        <f>COUNTIFS('Obligations Matrix'!$B$5:$B$44,$A10,'Obligations Matrix'!$R$5:$R$44,"Partially in place")</f>
        <v/>
      </c>
      <c r="F10" s="18">
        <f>COUNTIFS('Obligations Matrix'!$B$5:$B$44,$A10,'Obligations Matrix'!$R$5:$R$44,"In place")</f>
        <v/>
      </c>
      <c r="G10" s="18">
        <f>COUNTIFS('Obligations Matrix'!$B$5:$B$44,$A10,'Obligations Matrix'!$R$5:$R$44,"Not applicable to this organisation")</f>
        <v/>
      </c>
      <c r="H10" s="19">
        <f>IFERROR(F10/(B10-G10),0)</f>
        <v/>
      </c>
      <c r="I10" s="20">
        <f>COUNTIFS('Obligations Matrix'!$B$5:$B$44,$A10,'Obligations Matrix'!$V$5:$V$44,"Priority 1")</f>
        <v/>
      </c>
    </row>
    <row r="11">
      <c r="A11" s="4" t="inlineStr">
        <is>
          <t>Retention and erasure</t>
        </is>
      </c>
      <c r="B11" s="18">
        <f>COUNTIF('Obligations Matrix'!$B$5:$B$44,A11)</f>
        <v/>
      </c>
      <c r="C11" s="18">
        <f>COUNTIFS('Obligations Matrix'!$B$5:$B$44,$A11,'Obligations Matrix'!$R$5:$R$44,"Not assessed")</f>
        <v/>
      </c>
      <c r="D11" s="18">
        <f>COUNTIFS('Obligations Matrix'!$B$5:$B$44,$A11,'Obligations Matrix'!$R$5:$R$44,"Not started")</f>
        <v/>
      </c>
      <c r="E11" s="18">
        <f>COUNTIFS('Obligations Matrix'!$B$5:$B$44,$A11,'Obligations Matrix'!$R$5:$R$44,"Partially in place")</f>
        <v/>
      </c>
      <c r="F11" s="18">
        <f>COUNTIFS('Obligations Matrix'!$B$5:$B$44,$A11,'Obligations Matrix'!$R$5:$R$44,"In place")</f>
        <v/>
      </c>
      <c r="G11" s="18">
        <f>COUNTIFS('Obligations Matrix'!$B$5:$B$44,$A11,'Obligations Matrix'!$R$5:$R$44,"Not applicable to this organisation")</f>
        <v/>
      </c>
      <c r="H11" s="19">
        <f>IFERROR(F11/(B11-G11),0)</f>
        <v/>
      </c>
      <c r="I11" s="20">
        <f>COUNTIFS('Obligations Matrix'!$B$5:$B$44,$A11,'Obligations Matrix'!$V$5:$V$44,"Priority 1")</f>
        <v/>
      </c>
    </row>
    <row r="12">
      <c r="A12" s="4" t="inlineStr">
        <is>
          <t>Rights and grievances</t>
        </is>
      </c>
      <c r="B12" s="18">
        <f>COUNTIF('Obligations Matrix'!$B$5:$B$44,A12)</f>
        <v/>
      </c>
      <c r="C12" s="18">
        <f>COUNTIFS('Obligations Matrix'!$B$5:$B$44,$A12,'Obligations Matrix'!$R$5:$R$44,"Not assessed")</f>
        <v/>
      </c>
      <c r="D12" s="18">
        <f>COUNTIFS('Obligations Matrix'!$B$5:$B$44,$A12,'Obligations Matrix'!$R$5:$R$44,"Not started")</f>
        <v/>
      </c>
      <c r="E12" s="18">
        <f>COUNTIFS('Obligations Matrix'!$B$5:$B$44,$A12,'Obligations Matrix'!$R$5:$R$44,"Partially in place")</f>
        <v/>
      </c>
      <c r="F12" s="18">
        <f>COUNTIFS('Obligations Matrix'!$B$5:$B$44,$A12,'Obligations Matrix'!$R$5:$R$44,"In place")</f>
        <v/>
      </c>
      <c r="G12" s="18">
        <f>COUNTIFS('Obligations Matrix'!$B$5:$B$44,$A12,'Obligations Matrix'!$R$5:$R$44,"Not applicable to this organisation")</f>
        <v/>
      </c>
      <c r="H12" s="19">
        <f>IFERROR(F12/(B12-G12),0)</f>
        <v/>
      </c>
      <c r="I12" s="20">
        <f>COUNTIFS('Obligations Matrix'!$B$5:$B$44,$A12,'Obligations Matrix'!$V$5:$V$44,"Priority 1")</f>
        <v/>
      </c>
    </row>
    <row r="13">
      <c r="A13" s="4" t="inlineStr">
        <is>
          <t>Children and lawful guardians</t>
        </is>
      </c>
      <c r="B13" s="18">
        <f>COUNTIF('Obligations Matrix'!$B$5:$B$44,A13)</f>
        <v/>
      </c>
      <c r="C13" s="18">
        <f>COUNTIFS('Obligations Matrix'!$B$5:$B$44,$A13,'Obligations Matrix'!$R$5:$R$44,"Not assessed")</f>
        <v/>
      </c>
      <c r="D13" s="18">
        <f>COUNTIFS('Obligations Matrix'!$B$5:$B$44,$A13,'Obligations Matrix'!$R$5:$R$44,"Not started")</f>
        <v/>
      </c>
      <c r="E13" s="18">
        <f>COUNTIFS('Obligations Matrix'!$B$5:$B$44,$A13,'Obligations Matrix'!$R$5:$R$44,"Partially in place")</f>
        <v/>
      </c>
      <c r="F13" s="18">
        <f>COUNTIFS('Obligations Matrix'!$B$5:$B$44,$A13,'Obligations Matrix'!$R$5:$R$44,"In place")</f>
        <v/>
      </c>
      <c r="G13" s="18">
        <f>COUNTIFS('Obligations Matrix'!$B$5:$B$44,$A13,'Obligations Matrix'!$R$5:$R$44,"Not applicable to this organisation")</f>
        <v/>
      </c>
      <c r="H13" s="19">
        <f>IFERROR(F13/(B13-G13),0)</f>
        <v/>
      </c>
      <c r="I13" s="20">
        <f>COUNTIFS('Obligations Matrix'!$B$5:$B$44,$A13,'Obligations Matrix'!$V$5:$V$44,"Priority 1")</f>
        <v/>
      </c>
    </row>
    <row r="14">
      <c r="A14" s="4" t="inlineStr">
        <is>
          <t>Significant Data Fiduciary</t>
        </is>
      </c>
      <c r="B14" s="18">
        <f>COUNTIF('Obligations Matrix'!$B$5:$B$44,A14)</f>
        <v/>
      </c>
      <c r="C14" s="18">
        <f>COUNTIFS('Obligations Matrix'!$B$5:$B$44,$A14,'Obligations Matrix'!$R$5:$R$44,"Not assessed")</f>
        <v/>
      </c>
      <c r="D14" s="18">
        <f>COUNTIFS('Obligations Matrix'!$B$5:$B$44,$A14,'Obligations Matrix'!$R$5:$R$44,"Not started")</f>
        <v/>
      </c>
      <c r="E14" s="18">
        <f>COUNTIFS('Obligations Matrix'!$B$5:$B$44,$A14,'Obligations Matrix'!$R$5:$R$44,"Partially in place")</f>
        <v/>
      </c>
      <c r="F14" s="18">
        <f>COUNTIFS('Obligations Matrix'!$B$5:$B$44,$A14,'Obligations Matrix'!$R$5:$R$44,"In place")</f>
        <v/>
      </c>
      <c r="G14" s="18">
        <f>COUNTIFS('Obligations Matrix'!$B$5:$B$44,$A14,'Obligations Matrix'!$R$5:$R$44,"Not applicable to this organisation")</f>
        <v/>
      </c>
      <c r="H14" s="19">
        <f>IFERROR(F14/(B14-G14),0)</f>
        <v/>
      </c>
      <c r="I14" s="20">
        <f>COUNTIFS('Obligations Matrix'!$B$5:$B$44,$A14,'Obligations Matrix'!$V$5:$V$44,"Priority 1")</f>
        <v/>
      </c>
    </row>
    <row r="15">
      <c r="A15" s="4" t="inlineStr">
        <is>
          <t>Transfer outside India</t>
        </is>
      </c>
      <c r="B15" s="18">
        <f>COUNTIF('Obligations Matrix'!$B$5:$B$44,A15)</f>
        <v/>
      </c>
      <c r="C15" s="18">
        <f>COUNTIFS('Obligations Matrix'!$B$5:$B$44,$A15,'Obligations Matrix'!$R$5:$R$44,"Not assessed")</f>
        <v/>
      </c>
      <c r="D15" s="18">
        <f>COUNTIFS('Obligations Matrix'!$B$5:$B$44,$A15,'Obligations Matrix'!$R$5:$R$44,"Not started")</f>
        <v/>
      </c>
      <c r="E15" s="18">
        <f>COUNTIFS('Obligations Matrix'!$B$5:$B$44,$A15,'Obligations Matrix'!$R$5:$R$44,"Partially in place")</f>
        <v/>
      </c>
      <c r="F15" s="18">
        <f>COUNTIFS('Obligations Matrix'!$B$5:$B$44,$A15,'Obligations Matrix'!$R$5:$R$44,"In place")</f>
        <v/>
      </c>
      <c r="G15" s="18">
        <f>COUNTIFS('Obligations Matrix'!$B$5:$B$44,$A15,'Obligations Matrix'!$R$5:$R$44,"Not applicable to this organisation")</f>
        <v/>
      </c>
      <c r="H15" s="19">
        <f>IFERROR(F15/(B15-G15),0)</f>
        <v/>
      </c>
      <c r="I15" s="20">
        <f>COUNTIFS('Obligations Matrix'!$B$5:$B$44,$A15,'Obligations Matrix'!$V$5:$V$44,"Priority 1")</f>
        <v/>
      </c>
    </row>
    <row r="16">
      <c r="A16" s="4" t="inlineStr">
        <is>
          <t>Government and Data Protection Board</t>
        </is>
      </c>
      <c r="B16" s="18">
        <f>COUNTIF('Obligations Matrix'!$B$5:$B$44,A16)</f>
        <v/>
      </c>
      <c r="C16" s="18">
        <f>COUNTIFS('Obligations Matrix'!$B$5:$B$44,$A16,'Obligations Matrix'!$R$5:$R$44,"Not assessed")</f>
        <v/>
      </c>
      <c r="D16" s="18">
        <f>COUNTIFS('Obligations Matrix'!$B$5:$B$44,$A16,'Obligations Matrix'!$R$5:$R$44,"Not started")</f>
        <v/>
      </c>
      <c r="E16" s="18">
        <f>COUNTIFS('Obligations Matrix'!$B$5:$B$44,$A16,'Obligations Matrix'!$R$5:$R$44,"Partially in place")</f>
        <v/>
      </c>
      <c r="F16" s="18">
        <f>COUNTIFS('Obligations Matrix'!$B$5:$B$44,$A16,'Obligations Matrix'!$R$5:$R$44,"In place")</f>
        <v/>
      </c>
      <c r="G16" s="18">
        <f>COUNTIFS('Obligations Matrix'!$B$5:$B$44,$A16,'Obligations Matrix'!$R$5:$R$44,"Not applicable to this organisation")</f>
        <v/>
      </c>
      <c r="H16" s="19">
        <f>IFERROR(F16/(B16-G16),0)</f>
        <v/>
      </c>
      <c r="I16" s="20">
        <f>COUNTIFS('Obligations Matrix'!$B$5:$B$44,$A16,'Obligations Matrix'!$V$5:$V$44,"Priority 1")</f>
        <v/>
      </c>
    </row>
    <row r="17">
      <c r="A17" s="4" t="inlineStr">
        <is>
          <t>Exemptions</t>
        </is>
      </c>
      <c r="B17" s="18">
        <f>COUNTIF('Obligations Matrix'!$B$5:$B$44,A17)</f>
        <v/>
      </c>
      <c r="C17" s="18">
        <f>COUNTIFS('Obligations Matrix'!$B$5:$B$44,$A17,'Obligations Matrix'!$R$5:$R$44,"Not assessed")</f>
        <v/>
      </c>
      <c r="D17" s="18">
        <f>COUNTIFS('Obligations Matrix'!$B$5:$B$44,$A17,'Obligations Matrix'!$R$5:$R$44,"Not started")</f>
        <v/>
      </c>
      <c r="E17" s="18">
        <f>COUNTIFS('Obligations Matrix'!$B$5:$B$44,$A17,'Obligations Matrix'!$R$5:$R$44,"Partially in place")</f>
        <v/>
      </c>
      <c r="F17" s="18">
        <f>COUNTIFS('Obligations Matrix'!$B$5:$B$44,$A17,'Obligations Matrix'!$R$5:$R$44,"In place")</f>
        <v/>
      </c>
      <c r="G17" s="18">
        <f>COUNTIFS('Obligations Matrix'!$B$5:$B$44,$A17,'Obligations Matrix'!$R$5:$R$44,"Not applicable to this organisation")</f>
        <v/>
      </c>
      <c r="H17" s="19">
        <f>IFERROR(F17/(B17-G17),0)</f>
        <v/>
      </c>
      <c r="I17" s="20">
        <f>COUNTIFS('Obligations Matrix'!$B$5:$B$44,$A17,'Obligations Matrix'!$V$5:$V$44,"Priority 1")</f>
        <v/>
      </c>
    </row>
    <row r="18">
      <c r="A18" s="21" t="inlineStr">
        <is>
          <t>Total</t>
        </is>
      </c>
      <c r="B18" s="22">
        <f>SUM(B5:B17)</f>
        <v/>
      </c>
      <c r="C18" s="22">
        <f>SUM(C5:C17)</f>
        <v/>
      </c>
      <c r="D18" s="22">
        <f>SUM(D5:D17)</f>
        <v/>
      </c>
      <c r="E18" s="22">
        <f>SUM(E5:E17)</f>
        <v/>
      </c>
      <c r="F18" s="22">
        <f>SUM(F5:F17)</f>
        <v/>
      </c>
      <c r="G18" s="22">
        <f>SUM(G5:G17)</f>
        <v/>
      </c>
      <c r="H18" s="23">
        <f>IFERROR(F18/(B18-G18),0)</f>
        <v/>
      </c>
      <c r="I18" s="24">
        <f>SUM(I5:I17)</f>
        <v/>
      </c>
    </row>
  </sheetData>
  <pageMargins left="0.75" right="0.75" top="1" bottom="1" header="0.5" footer="0.5"/>
</worksheet>
</file>

<file path=xl/worksheets/sheet7.xml><?xml version="1.0" encoding="utf-8"?>
<worksheet xmlns="http://schemas.openxmlformats.org/spreadsheetml/2006/main">
  <sheetPr>
    <tabColor rgb="00999999"/>
    <outlinePr summaryBelow="1" summaryRight="1"/>
    <pageSetUpPr/>
  </sheetPr>
  <dimension ref="A1:D14"/>
  <sheetViews>
    <sheetView workbookViewId="0">
      <selection activeCell="A1" sqref="A1"/>
    </sheetView>
  </sheetViews>
  <sheetFormatPr baseColWidth="8" defaultRowHeight="15"/>
  <cols>
    <col width="12" customWidth="1" min="1" max="1"/>
    <col width="72" customWidth="1" min="2" max="2"/>
    <col width="20" customWidth="1" min="3" max="3"/>
    <col width="40" customWidth="1" min="4" max="4"/>
  </cols>
  <sheetData>
    <row r="1">
      <c r="A1" s="1" t="inlineStr">
        <is>
          <t>Penalties: the Schedule to the Act (Section 33(1))</t>
        </is>
      </c>
    </row>
    <row r="2">
      <c r="A2" s="2" t="inlineStr">
        <is>
          <t>Maximum amounts. The Board decides the actual amount using the factors in Section 33(2).</t>
        </is>
      </c>
    </row>
    <row r="4" ht="40" customHeight="1">
      <c r="A4" s="9" t="inlineStr">
        <is>
          <t>Item in the Schedule</t>
        </is>
      </c>
      <c r="B4" s="9" t="inlineStr">
        <is>
          <t>Breach</t>
        </is>
      </c>
      <c r="C4" s="9" t="inlineStr">
        <is>
          <t>Maximum penalty (₹ crore)</t>
        </is>
      </c>
      <c r="D4" s="9" t="inlineStr">
        <is>
          <t>Control identifiers</t>
        </is>
      </c>
    </row>
    <row r="5" ht="32" customHeight="1">
      <c r="A5" s="18" t="n">
        <v>1</v>
      </c>
      <c r="B5" s="10" t="inlineStr">
        <is>
          <t>Breach of the duty to take reasonable security safeguards to prevent a personal data breach (Section 8(5))</t>
        </is>
      </c>
      <c r="C5" s="25" t="n">
        <v>250</v>
      </c>
      <c r="D5" s="10" t="inlineStr">
        <is>
          <t>DPDP-Act-S8(5) and DPDP-Rule-6(1)(a) to (g)</t>
        </is>
      </c>
    </row>
    <row r="6" ht="32" customHeight="1">
      <c r="A6" s="18" t="n">
        <v>2</v>
      </c>
      <c r="B6" s="10" t="inlineStr">
        <is>
          <t>Breach of the duty to inform the Board or affected persons of a personal data breach (Section 8(6))</t>
        </is>
      </c>
      <c r="C6" s="25" t="n">
        <v>200</v>
      </c>
      <c r="D6" s="10" t="inlineStr">
        <is>
          <t>DPDP-Rule-7(1), DPDP-Rule-7(2)</t>
        </is>
      </c>
    </row>
    <row r="7" ht="32" customHeight="1">
      <c r="A7" s="18" t="n">
        <v>3</v>
      </c>
      <c r="B7" s="10" t="inlineStr">
        <is>
          <t>Breach of the additional obligations relating to children (Section 9)</t>
        </is>
      </c>
      <c r="C7" s="25" t="n">
        <v>200</v>
      </c>
      <c r="D7" s="10" t="inlineStr">
        <is>
          <t>DPDP-Act-S9(1), DPDP-Act-S9(3), DPDP-Rule-11(1)</t>
        </is>
      </c>
    </row>
    <row r="8" ht="32" customHeight="1">
      <c r="A8" s="18" t="n">
        <v>4</v>
      </c>
      <c r="B8" s="10" t="inlineStr">
        <is>
          <t>Breach of the additional obligations of a Significant Data Fiduciary (Section 10)</t>
        </is>
      </c>
      <c r="C8" s="25" t="n">
        <v>150</v>
      </c>
      <c r="D8" s="10" t="inlineStr">
        <is>
          <t>DPDP-Act-S10(2), DPDP-Rule-13</t>
        </is>
      </c>
    </row>
    <row r="9" ht="32" customHeight="1">
      <c r="A9" s="18" t="n">
        <v>5</v>
      </c>
      <c r="B9" s="10" t="inlineStr">
        <is>
          <t>Breach of the duties of a Data Principal (Section 15)</t>
        </is>
      </c>
      <c r="C9" s="25" t="n">
        <v>0.001</v>
      </c>
      <c r="D9" s="10" t="inlineStr">
        <is>
          <t>Applies to individuals: up to ₹10,000</t>
        </is>
      </c>
    </row>
    <row r="10" ht="32" customHeight="1">
      <c r="A10" s="18" t="n">
        <v>6</v>
      </c>
      <c r="B10" s="10" t="inlineStr">
        <is>
          <t>Breach of a voluntary undertaking accepted by the Board (Section 32)</t>
        </is>
      </c>
      <c r="C10" s="25" t="n"/>
      <c r="D10" s="10" t="inlineStr">
        <is>
          <t>Up to the penalty for the original breach</t>
        </is>
      </c>
    </row>
    <row r="11" ht="32" customHeight="1">
      <c r="A11" s="18" t="n">
        <v>7</v>
      </c>
      <c r="B11" s="10" t="inlineStr">
        <is>
          <t>Breach of any other provision of the Act or the Rules</t>
        </is>
      </c>
      <c r="C11" s="25" t="n">
        <v>50</v>
      </c>
      <c r="D11" s="10" t="inlineStr">
        <is>
          <t>All other controls</t>
        </is>
      </c>
    </row>
    <row r="13" ht="46" customHeight="1">
      <c r="A13" s="26" t="inlineStr">
        <is>
          <t>Factors in Section 33(2): the nature, gravity and duration of the breach; the type of personal data affected; whether it was repeated; any gain made or loss avoided; the mitigation and how quickly it was done; whether the penalty is proportionate and deters; and the likely impact of the penalty on the person.</t>
        </is>
      </c>
    </row>
    <row r="14">
      <c r="A14" s="27" t="inlineStr">
        <is>
          <t>Source: Digital Personal Data Protection Act, 2023, the Schedule and Section 33. Item 5 is shown as 0.001 crore, which equals ₹10,000.</t>
        </is>
      </c>
    </row>
  </sheetData>
  <mergeCells count="2">
    <mergeCell ref="A13:D13"/>
    <mergeCell ref="A14:D14"/>
  </mergeCells>
  <pageMargins left="0.75" right="0.75" top="1" bottom="1" header="0.5" footer="0.5"/>
</worksheet>
</file>

<file path=xl/worksheets/sheet8.xml><?xml version="1.0" encoding="utf-8"?>
<worksheet xmlns="http://schemas.openxmlformats.org/spreadsheetml/2006/main">
  <sheetPr>
    <tabColor rgb="002E7D32"/>
    <outlinePr summaryBelow="1" summaryRight="1"/>
    <pageSetUpPr/>
  </sheetPr>
  <dimension ref="A1:G8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42" customWidth="1" min="2" max="2"/>
    <col width="24" customWidth="1" min="3" max="3"/>
    <col width="16" customWidth="1" min="4" max="4"/>
    <col width="34" customWidth="1" min="5" max="5"/>
    <col width="22" customWidth="1" min="6" max="6"/>
    <col width="52" customWidth="1" min="7" max="7"/>
  </cols>
  <sheetData>
    <row r="1">
      <c r="A1" s="1" t="inlineStr">
        <is>
          <t>Coverage: every provision of the Act and the Rules</t>
        </is>
      </c>
    </row>
    <row r="2">
      <c r="A2" s="2" t="inlineStr">
        <is>
          <t>Each line shows the row that covers the provision, or why it does not apply to companies. Checked against the Gazette text on 14 October 2026.</t>
        </is>
      </c>
    </row>
    <row r="4" ht="40" customHeight="1">
      <c r="A4" s="9" t="inlineStr">
        <is>
          <t>Provision</t>
        </is>
      </c>
      <c r="B4" s="9" t="inlineStr">
        <is>
          <t>Subject</t>
        </is>
      </c>
      <c r="C4" s="9" t="inlineStr">
        <is>
          <t>Binds</t>
        </is>
      </c>
      <c r="D4" s="9" t="inlineStr">
        <is>
          <t>Applies to companies?</t>
        </is>
      </c>
      <c r="E4" s="9" t="inlineStr">
        <is>
          <t>Where in this workbook</t>
        </is>
      </c>
      <c r="F4" s="9" t="inlineStr">
        <is>
          <t>Result</t>
        </is>
      </c>
      <c r="G4" s="9" t="inlineStr">
        <is>
          <t>Note</t>
        </is>
      </c>
    </row>
    <row r="5">
      <c r="A5" s="28" t="inlineStr">
        <is>
          <t>THE ACT</t>
        </is>
      </c>
    </row>
    <row r="6" ht="40" customHeight="1">
      <c r="A6" s="21" t="inlineStr">
        <is>
          <t>Act s.1</t>
        </is>
      </c>
      <c r="B6" s="29" t="inlineStr">
        <is>
          <t>Short title and commencement</t>
        </is>
      </c>
      <c r="C6" s="29" t="inlineStr">
        <is>
          <t>Central Government</t>
        </is>
      </c>
      <c r="D6" s="29" t="inlineStr">
        <is>
          <t>No</t>
        </is>
      </c>
      <c r="E6" s="29" t="inlineStr">
        <is>
          <t>Timeline sheet</t>
        </is>
      </c>
      <c r="F6" s="29" t="inlineStr">
        <is>
          <t>Does not apply to companies</t>
        </is>
      </c>
      <c r="G6" s="29" t="inlineStr">
        <is>
          <t>Sets commencement dates; dates are shown on the Timeline sheet.</t>
        </is>
      </c>
    </row>
    <row r="7" ht="40" customHeight="1">
      <c r="A7" s="21" t="inlineStr">
        <is>
          <t>Act s.2</t>
        </is>
      </c>
      <c r="B7" s="29" t="inlineStr">
        <is>
          <t>Definitions</t>
        </is>
      </c>
      <c r="C7" s="29" t="inlineStr">
        <is>
          <t>All</t>
        </is>
      </c>
      <c r="D7" s="29" t="inlineStr">
        <is>
          <t>No (definitions)</t>
        </is>
      </c>
      <c r="E7" s="29" t="inlineStr">
        <is>
          <t>Not included</t>
        </is>
      </c>
      <c r="F7" s="29" t="inlineStr">
        <is>
          <t>Does not apply to companies</t>
        </is>
      </c>
      <c r="G7" s="29" t="inlineStr">
        <is>
          <t>Definitions, not duties. Key terms are used in the plain-English requirements.</t>
        </is>
      </c>
    </row>
    <row r="8" ht="40" customHeight="1">
      <c r="A8" s="30" t="inlineStr">
        <is>
          <t>Act s.3</t>
        </is>
      </c>
      <c r="B8" s="31" t="inlineStr">
        <is>
          <t>Application of Act</t>
        </is>
      </c>
      <c r="C8" s="31" t="inlineStr">
        <is>
          <t>All</t>
        </is>
      </c>
      <c r="D8" s="31" t="inlineStr">
        <is>
          <t>Scope</t>
        </is>
      </c>
      <c r="E8" s="31" t="inlineStr">
        <is>
          <t>Start Here: 'When the Act applies'</t>
        </is>
      </c>
      <c r="F8" s="31" t="inlineStr">
        <is>
          <t>Start Here note</t>
        </is>
      </c>
      <c r="G8" s="31" t="inlineStr">
        <is>
          <t>Scope of the Act, not a duty.</t>
        </is>
      </c>
    </row>
    <row r="9" ht="40" customHeight="1">
      <c r="A9" s="32" t="inlineStr">
        <is>
          <t>Act s.4(1), 4(2)</t>
        </is>
      </c>
      <c r="B9" s="33" t="inlineStr">
        <is>
          <t>Grounds for processing</t>
        </is>
      </c>
      <c r="C9" s="33" t="inlineStr">
        <is>
          <t>Data Fiduciary</t>
        </is>
      </c>
      <c r="D9" s="33" t="inlineStr">
        <is>
          <t>Yes</t>
        </is>
      </c>
      <c r="E9" s="33" t="inlineStr">
        <is>
          <t>DPDP-Act-S4</t>
        </is>
      </c>
      <c r="F9" s="33" t="inlineStr">
        <is>
          <t>Own row</t>
        </is>
      </c>
      <c r="G9" s="33" t="inlineStr"/>
    </row>
    <row r="10" ht="40" customHeight="1">
      <c r="A10" s="32" t="inlineStr">
        <is>
          <t>Act s.5(1)</t>
        </is>
      </c>
      <c r="B10" s="33" t="inlineStr">
        <is>
          <t>Notice</t>
        </is>
      </c>
      <c r="C10" s="33" t="inlineStr">
        <is>
          <t>Data Fiduciary</t>
        </is>
      </c>
      <c r="D10" s="33" t="inlineStr">
        <is>
          <t>Yes</t>
        </is>
      </c>
      <c r="E10" s="33" t="inlineStr">
        <is>
          <t>DPDP-Act-S5(1)</t>
        </is>
      </c>
      <c r="F10" s="33" t="inlineStr">
        <is>
          <t>Own row</t>
        </is>
      </c>
      <c r="G10" s="33" t="inlineStr"/>
    </row>
    <row r="11" ht="40" customHeight="1">
      <c r="A11" s="32" t="inlineStr">
        <is>
          <t>Act s.5(2)</t>
        </is>
      </c>
      <c r="B11" s="33" t="inlineStr">
        <is>
          <t>Notice for consent given before commencement</t>
        </is>
      </c>
      <c r="C11" s="33" t="inlineStr">
        <is>
          <t>Data Fiduciary</t>
        </is>
      </c>
      <c r="D11" s="33" t="inlineStr">
        <is>
          <t>Yes</t>
        </is>
      </c>
      <c r="E11" s="33" t="inlineStr">
        <is>
          <t>DPDP-Act-S5(2)</t>
        </is>
      </c>
      <c r="F11" s="33" t="inlineStr">
        <is>
          <t>Own row</t>
        </is>
      </c>
      <c r="G11" s="33" t="inlineStr"/>
    </row>
    <row r="12" ht="40" customHeight="1">
      <c r="A12" s="34" t="inlineStr">
        <is>
          <t>Act s.5(3)</t>
        </is>
      </c>
      <c r="B12" s="35" t="inlineStr">
        <is>
          <t>Notice in English or Eighth Schedule languages</t>
        </is>
      </c>
      <c r="C12" s="35" t="inlineStr">
        <is>
          <t>Data Fiduciary</t>
        </is>
      </c>
      <c r="D12" s="35" t="inlineStr">
        <is>
          <t>Yes</t>
        </is>
      </c>
      <c r="E12" s="35" t="inlineStr">
        <is>
          <t>Grouped in DPDP-Act-S5(1)</t>
        </is>
      </c>
      <c r="F12" s="35" t="inlineStr">
        <is>
          <t>Grouped in a row</t>
        </is>
      </c>
      <c r="G12" s="35" t="inlineStr"/>
    </row>
    <row r="13" ht="40" customHeight="1">
      <c r="A13" s="32" t="inlineStr">
        <is>
          <t>Act s.6(1), 6(2)</t>
        </is>
      </c>
      <c r="B13" s="33" t="inlineStr">
        <is>
          <t>Valid consent; invalid parts of consent</t>
        </is>
      </c>
      <c r="C13" s="33" t="inlineStr">
        <is>
          <t>Data Fiduciary</t>
        </is>
      </c>
      <c r="D13" s="33" t="inlineStr">
        <is>
          <t>Yes</t>
        </is>
      </c>
      <c r="E13" s="33" t="inlineStr">
        <is>
          <t>DPDP-Act-S6(1)</t>
        </is>
      </c>
      <c r="F13" s="33" t="inlineStr">
        <is>
          <t>Own row</t>
        </is>
      </c>
      <c r="G13" s="33" t="inlineStr"/>
    </row>
    <row r="14" ht="40" customHeight="1">
      <c r="A14" s="34" t="inlineStr">
        <is>
          <t>Act s.6(3)</t>
        </is>
      </c>
      <c r="B14" s="35" t="inlineStr">
        <is>
          <t>Consent request in plain language, with contact details</t>
        </is>
      </c>
      <c r="C14" s="35" t="inlineStr">
        <is>
          <t>Data Fiduciary</t>
        </is>
      </c>
      <c r="D14" s="35" t="inlineStr">
        <is>
          <t>Yes</t>
        </is>
      </c>
      <c r="E14" s="35" t="inlineStr">
        <is>
          <t>Grouped in DPDP-Act-S5(1)</t>
        </is>
      </c>
      <c r="F14" s="35" t="inlineStr">
        <is>
          <t>Grouped in a row</t>
        </is>
      </c>
      <c r="G14" s="35" t="inlineStr"/>
    </row>
    <row r="15" ht="40" customHeight="1">
      <c r="A15" s="32" t="inlineStr">
        <is>
          <t>Act s.6(4), 6(5), 6(6)</t>
        </is>
      </c>
      <c r="B15" s="33" t="inlineStr">
        <is>
          <t>Withdrawal; its consequences; stop processing</t>
        </is>
      </c>
      <c r="C15" s="33" t="inlineStr">
        <is>
          <t>Data Fiduciary</t>
        </is>
      </c>
      <c r="D15" s="33" t="inlineStr">
        <is>
          <t>Yes</t>
        </is>
      </c>
      <c r="E15" s="33" t="inlineStr">
        <is>
          <t>DPDP-Act-S6(4)</t>
        </is>
      </c>
      <c r="F15" s="33" t="inlineStr">
        <is>
          <t>Own row</t>
        </is>
      </c>
      <c r="G15" s="33" t="inlineStr"/>
    </row>
    <row r="16" ht="40" customHeight="1">
      <c r="A16" s="34" t="inlineStr">
        <is>
          <t>Act s.6(7), 6(8), 6(9)</t>
        </is>
      </c>
      <c r="B16" s="35" t="inlineStr">
        <is>
          <t>Consent Managers</t>
        </is>
      </c>
      <c r="C16" s="35" t="inlineStr">
        <is>
          <t>Consent Manager; Data Principal</t>
        </is>
      </c>
      <c r="D16" s="35" t="inlineStr">
        <is>
          <t>Indirectly</t>
        </is>
      </c>
      <c r="E16" s="35" t="inlineStr">
        <is>
          <t>Grouped in DPDP-Rule-4(1)</t>
        </is>
      </c>
      <c r="F16" s="35" t="inlineStr">
        <is>
          <t>Grouped in a row</t>
        </is>
      </c>
      <c r="G16" s="35" t="inlineStr">
        <is>
          <t>Binds Consent Managers; a company must accept consent actions made through them.</t>
        </is>
      </c>
    </row>
    <row r="17" ht="40" customHeight="1">
      <c r="A17" s="32" t="inlineStr">
        <is>
          <t>Act s.6(10)</t>
        </is>
      </c>
      <c r="B17" s="33" t="inlineStr">
        <is>
          <t>Burden of proving notice and consent</t>
        </is>
      </c>
      <c r="C17" s="33" t="inlineStr">
        <is>
          <t>Data Fiduciary</t>
        </is>
      </c>
      <c r="D17" s="33" t="inlineStr">
        <is>
          <t>Yes</t>
        </is>
      </c>
      <c r="E17" s="33" t="inlineStr">
        <is>
          <t>DPDP-Act-S6(10)</t>
        </is>
      </c>
      <c r="F17" s="33" t="inlineStr">
        <is>
          <t>Own row</t>
        </is>
      </c>
      <c r="G17" s="33" t="inlineStr"/>
    </row>
    <row r="18" ht="40" customHeight="1">
      <c r="A18" s="32" t="inlineStr">
        <is>
          <t>Act s.7(a), 7(d) to 7(i)</t>
        </is>
      </c>
      <c r="B18" s="33" t="inlineStr">
        <is>
          <t>Certain legitimate uses</t>
        </is>
      </c>
      <c r="C18" s="33" t="inlineStr">
        <is>
          <t>Data Fiduciary</t>
        </is>
      </c>
      <c r="D18" s="33" t="inlineStr">
        <is>
          <t>Yes</t>
        </is>
      </c>
      <c r="E18" s="33" t="inlineStr">
        <is>
          <t>DPDP-Act-S7</t>
        </is>
      </c>
      <c r="F18" s="33" t="inlineStr">
        <is>
          <t>Own row</t>
        </is>
      </c>
      <c r="G18" s="33" t="inlineStr"/>
    </row>
    <row r="19" ht="40" customHeight="1">
      <c r="A19" s="21" t="inlineStr">
        <is>
          <t>Act s.7(b), 7(c)</t>
        </is>
      </c>
      <c r="B19" s="29" t="inlineStr">
        <is>
          <t>Legitimate uses by the State</t>
        </is>
      </c>
      <c r="C19" s="29" t="inlineStr">
        <is>
          <t>State</t>
        </is>
      </c>
      <c r="D19" s="29" t="inlineStr">
        <is>
          <t>No</t>
        </is>
      </c>
      <c r="E19" s="29" t="inlineStr">
        <is>
          <t>Grouped in DPDP-Act-S7</t>
        </is>
      </c>
      <c r="F19" s="29" t="inlineStr">
        <is>
          <t>Does not apply to companies</t>
        </is>
      </c>
      <c r="G19" s="29" t="inlineStr">
        <is>
          <t>Apply to the State and its instrumentalities.</t>
        </is>
      </c>
    </row>
    <row r="20" ht="40" customHeight="1">
      <c r="A20" s="32" t="inlineStr">
        <is>
          <t>Act s.8(1), 8(2)</t>
        </is>
      </c>
      <c r="B20" s="33" t="inlineStr">
        <is>
          <t>Accountability; processors only under a valid contract</t>
        </is>
      </c>
      <c r="C20" s="33" t="inlineStr">
        <is>
          <t>Data Fiduciary</t>
        </is>
      </c>
      <c r="D20" s="33" t="inlineStr">
        <is>
          <t>Yes</t>
        </is>
      </c>
      <c r="E20" s="33" t="inlineStr">
        <is>
          <t>DPDP-Act-S8(1)</t>
        </is>
      </c>
      <c r="F20" s="33" t="inlineStr">
        <is>
          <t>Own row</t>
        </is>
      </c>
      <c r="G20" s="33" t="inlineStr"/>
    </row>
    <row r="21" ht="40" customHeight="1">
      <c r="A21" s="32" t="inlineStr">
        <is>
          <t>Act s.8(3)</t>
        </is>
      </c>
      <c r="B21" s="33" t="inlineStr">
        <is>
          <t>Accuracy where data is used for decisions or disclosed</t>
        </is>
      </c>
      <c r="C21" s="33" t="inlineStr">
        <is>
          <t>Data Fiduciary</t>
        </is>
      </c>
      <c r="D21" s="33" t="inlineStr">
        <is>
          <t>Yes</t>
        </is>
      </c>
      <c r="E21" s="33" t="inlineStr">
        <is>
          <t>DPDP-Act-S8(3)</t>
        </is>
      </c>
      <c r="F21" s="33" t="inlineStr">
        <is>
          <t>Own row</t>
        </is>
      </c>
      <c r="G21" s="33" t="inlineStr"/>
    </row>
    <row r="22" ht="40" customHeight="1">
      <c r="A22" s="32" t="inlineStr">
        <is>
          <t>Act s.8(4), 8(5)</t>
        </is>
      </c>
      <c r="B22" s="33" t="inlineStr">
        <is>
          <t>Technical and organisational measures; security safeguards</t>
        </is>
      </c>
      <c r="C22" s="33" t="inlineStr">
        <is>
          <t>Data Fiduciary</t>
        </is>
      </c>
      <c r="D22" s="33" t="inlineStr">
        <is>
          <t>Yes</t>
        </is>
      </c>
      <c r="E22" s="33" t="inlineStr">
        <is>
          <t>DPDP-Act-S8(5)</t>
        </is>
      </c>
      <c r="F22" s="33" t="inlineStr">
        <is>
          <t>Own row</t>
        </is>
      </c>
      <c r="G22" s="33" t="inlineStr"/>
    </row>
    <row r="23" ht="40" customHeight="1">
      <c r="A23" s="34" t="inlineStr">
        <is>
          <t>Act s.8(6)</t>
        </is>
      </c>
      <c r="B23" s="35" t="inlineStr">
        <is>
          <t>Breach intimation</t>
        </is>
      </c>
      <c r="C23" s="35" t="inlineStr">
        <is>
          <t>Data Fiduciary</t>
        </is>
      </c>
      <c r="D23" s="35" t="inlineStr">
        <is>
          <t>Yes</t>
        </is>
      </c>
      <c r="E23" s="35" t="inlineStr">
        <is>
          <t>Grouped in DPDP-Rule-7(1) and DPDP-Rule-7(2)</t>
        </is>
      </c>
      <c r="F23" s="35" t="inlineStr">
        <is>
          <t>Grouped in a row</t>
        </is>
      </c>
      <c r="G23" s="35" t="inlineStr"/>
    </row>
    <row r="24" ht="40" customHeight="1">
      <c r="A24" s="32" t="inlineStr">
        <is>
          <t>Act s.8(7)</t>
        </is>
      </c>
      <c r="B24" s="33" t="inlineStr">
        <is>
          <t>Erasure</t>
        </is>
      </c>
      <c r="C24" s="33" t="inlineStr">
        <is>
          <t>Data Fiduciary</t>
        </is>
      </c>
      <c r="D24" s="33" t="inlineStr">
        <is>
          <t>Yes</t>
        </is>
      </c>
      <c r="E24" s="33" t="inlineStr">
        <is>
          <t>DPDP-Act-S8(7)</t>
        </is>
      </c>
      <c r="F24" s="33" t="inlineStr">
        <is>
          <t>Own row</t>
        </is>
      </c>
      <c r="G24" s="33" t="inlineStr"/>
    </row>
    <row r="25" ht="40" customHeight="1">
      <c r="A25" s="34" t="inlineStr">
        <is>
          <t>Act s.8(8)</t>
        </is>
      </c>
      <c r="B25" s="35" t="inlineStr">
        <is>
          <t>Purpose deemed over</t>
        </is>
      </c>
      <c r="C25" s="35" t="inlineStr">
        <is>
          <t>Data Fiduciary</t>
        </is>
      </c>
      <c r="D25" s="35" t="inlineStr">
        <is>
          <t>Yes</t>
        </is>
      </c>
      <c r="E25" s="35" t="inlineStr">
        <is>
          <t>Grouped in DPDP-Rule-8(1)</t>
        </is>
      </c>
      <c r="F25" s="35" t="inlineStr">
        <is>
          <t>Grouped in a row</t>
        </is>
      </c>
      <c r="G25" s="35" t="inlineStr"/>
    </row>
    <row r="26" ht="40" customHeight="1">
      <c r="A26" s="34" t="inlineStr">
        <is>
          <t>Act s.8(9)</t>
        </is>
      </c>
      <c r="B26" s="35" t="inlineStr">
        <is>
          <t>Publish business contact information</t>
        </is>
      </c>
      <c r="C26" s="35" t="inlineStr">
        <is>
          <t>Data Fiduciary</t>
        </is>
      </c>
      <c r="D26" s="35" t="inlineStr">
        <is>
          <t>Yes</t>
        </is>
      </c>
      <c r="E26" s="35" t="inlineStr">
        <is>
          <t>Grouped in DPDP-Rule-9</t>
        </is>
      </c>
      <c r="F26" s="35" t="inlineStr">
        <is>
          <t>Grouped in a row</t>
        </is>
      </c>
      <c r="G26" s="35" t="inlineStr"/>
    </row>
    <row r="27" ht="40" customHeight="1">
      <c r="A27" s="34" t="inlineStr">
        <is>
          <t>Act s.8(10)</t>
        </is>
      </c>
      <c r="B27" s="35" t="inlineStr">
        <is>
          <t>Grievance mechanism</t>
        </is>
      </c>
      <c r="C27" s="35" t="inlineStr">
        <is>
          <t>Data Fiduciary</t>
        </is>
      </c>
      <c r="D27" s="35" t="inlineStr">
        <is>
          <t>Yes</t>
        </is>
      </c>
      <c r="E27" s="35" t="inlineStr">
        <is>
          <t>Grouped in DPDP-Act-S13</t>
        </is>
      </c>
      <c r="F27" s="35" t="inlineStr">
        <is>
          <t>Grouped in a row</t>
        </is>
      </c>
      <c r="G27" s="35" t="inlineStr"/>
    </row>
    <row r="28" ht="40" customHeight="1">
      <c r="A28" s="34" t="inlineStr">
        <is>
          <t>Act s.8(11)</t>
        </is>
      </c>
      <c r="B28" s="35" t="inlineStr">
        <is>
          <t>Meaning of 'not having approached' the Data Fiduciary</t>
        </is>
      </c>
      <c r="C28" s="35" t="inlineStr">
        <is>
          <t>Data Fiduciary</t>
        </is>
      </c>
      <c r="D28" s="35" t="inlineStr">
        <is>
          <t>Yes</t>
        </is>
      </c>
      <c r="E28" s="35" t="inlineStr">
        <is>
          <t>Grouped in DPDP-Rule-8(1)</t>
        </is>
      </c>
      <c r="F28" s="35" t="inlineStr">
        <is>
          <t>Grouped in a row</t>
        </is>
      </c>
      <c r="G28" s="35" t="inlineStr"/>
    </row>
    <row r="29" ht="40" customHeight="1">
      <c r="A29" s="32" t="inlineStr">
        <is>
          <t>Act s.9(1)</t>
        </is>
      </c>
      <c r="B29" s="33" t="inlineStr">
        <is>
          <t>Verifiable parental or guardian consent</t>
        </is>
      </c>
      <c r="C29" s="33" t="inlineStr">
        <is>
          <t>Data Fiduciary</t>
        </is>
      </c>
      <c r="D29" s="33" t="inlineStr">
        <is>
          <t>Yes</t>
        </is>
      </c>
      <c r="E29" s="33" t="inlineStr">
        <is>
          <t>DPDP-Act-S9(1)</t>
        </is>
      </c>
      <c r="F29" s="33" t="inlineStr">
        <is>
          <t>Own row</t>
        </is>
      </c>
      <c r="G29" s="33" t="inlineStr"/>
    </row>
    <row r="30" ht="40" customHeight="1">
      <c r="A30" s="32" t="inlineStr">
        <is>
          <t>Act s.9(2), 9(3), 9(4)</t>
        </is>
      </c>
      <c r="B30" s="33" t="inlineStr">
        <is>
          <t>No detrimental processing; no tracking or targeted advertising; exemptions</t>
        </is>
      </c>
      <c r="C30" s="33" t="inlineStr">
        <is>
          <t>Data Fiduciary</t>
        </is>
      </c>
      <c r="D30" s="33" t="inlineStr">
        <is>
          <t>Yes</t>
        </is>
      </c>
      <c r="E30" s="33" t="inlineStr">
        <is>
          <t>DPDP-Act-S9(3)</t>
        </is>
      </c>
      <c r="F30" s="33" t="inlineStr">
        <is>
          <t>Own row</t>
        </is>
      </c>
      <c r="G30" s="33" t="inlineStr"/>
    </row>
    <row r="31" ht="40" customHeight="1">
      <c r="A31" s="34" t="inlineStr">
        <is>
          <t>Act s.9(5)</t>
        </is>
      </c>
      <c r="B31" s="35" t="inlineStr">
        <is>
          <t>Government may notify a safe age for a Data Fiduciary</t>
        </is>
      </c>
      <c r="C31" s="35" t="inlineStr">
        <is>
          <t>Central Government</t>
        </is>
      </c>
      <c r="D31" s="35" t="inlineStr">
        <is>
          <t>Conditional</t>
        </is>
      </c>
      <c r="E31" s="35" t="inlineStr">
        <is>
          <t>Grouped in DPDP-Act-S9(3)</t>
        </is>
      </c>
      <c r="F31" s="35" t="inlineStr">
        <is>
          <t>Grouped in a row</t>
        </is>
      </c>
      <c r="G31" s="35" t="inlineStr">
        <is>
          <t>Applies only if the Government notifies a safe age for the company.</t>
        </is>
      </c>
    </row>
    <row r="32" ht="40" customHeight="1">
      <c r="A32" s="34" t="inlineStr">
        <is>
          <t>Act s.10(1)</t>
        </is>
      </c>
      <c r="B32" s="35" t="inlineStr">
        <is>
          <t>Notification of Significant Data Fiduciaries</t>
        </is>
      </c>
      <c r="C32" s="35" t="inlineStr">
        <is>
          <t>Central Government</t>
        </is>
      </c>
      <c r="D32" s="35" t="inlineStr">
        <is>
          <t>Conditional</t>
        </is>
      </c>
      <c r="E32" s="35" t="inlineStr">
        <is>
          <t>Grouped in DPDP-Act-S10(2)</t>
        </is>
      </c>
      <c r="F32" s="35" t="inlineStr">
        <is>
          <t>Grouped in a row</t>
        </is>
      </c>
      <c r="G32" s="35" t="inlineStr"/>
    </row>
    <row r="33" ht="40" customHeight="1">
      <c r="A33" s="32" t="inlineStr">
        <is>
          <t>Act s.10(2)</t>
        </is>
      </c>
      <c r="B33" s="33" t="inlineStr">
        <is>
          <t>Duties of a Significant Data Fiduciary</t>
        </is>
      </c>
      <c r="C33" s="33" t="inlineStr">
        <is>
          <t>Significant Data Fiduciary</t>
        </is>
      </c>
      <c r="D33" s="33" t="inlineStr">
        <is>
          <t>Conditional</t>
        </is>
      </c>
      <c r="E33" s="33" t="inlineStr">
        <is>
          <t>DPDP-Act-S10(2)</t>
        </is>
      </c>
      <c r="F33" s="33" t="inlineStr">
        <is>
          <t>Own row</t>
        </is>
      </c>
      <c r="G33" s="33" t="inlineStr"/>
    </row>
    <row r="34" ht="40" customHeight="1">
      <c r="A34" s="32" t="inlineStr">
        <is>
          <t>Act s.11(1)</t>
        </is>
      </c>
      <c r="B34" s="33" t="inlineStr">
        <is>
          <t>Right to access information</t>
        </is>
      </c>
      <c r="C34" s="33" t="inlineStr">
        <is>
          <t>Data Fiduciary</t>
        </is>
      </c>
      <c r="D34" s="33" t="inlineStr">
        <is>
          <t>Yes</t>
        </is>
      </c>
      <c r="E34" s="33" t="inlineStr">
        <is>
          <t>DPDP-Act-S11(1)</t>
        </is>
      </c>
      <c r="F34" s="33" t="inlineStr">
        <is>
          <t>Own row</t>
        </is>
      </c>
      <c r="G34" s="33" t="inlineStr"/>
    </row>
    <row r="35" ht="40" customHeight="1">
      <c r="A35" s="34" t="inlineStr">
        <is>
          <t>Act s.11(2)</t>
        </is>
      </c>
      <c r="B35" s="35" t="inlineStr">
        <is>
          <t>Carve-out for sharing with law-enforcement bodies</t>
        </is>
      </c>
      <c r="C35" s="35" t="inlineStr">
        <is>
          <t>Data Fiduciary</t>
        </is>
      </c>
      <c r="D35" s="35" t="inlineStr">
        <is>
          <t>Yes</t>
        </is>
      </c>
      <c r="E35" s="35" t="inlineStr">
        <is>
          <t>Grouped in DPDP-Act-S11(1)</t>
        </is>
      </c>
      <c r="F35" s="35" t="inlineStr">
        <is>
          <t>Grouped in a row</t>
        </is>
      </c>
      <c r="G35" s="35" t="inlineStr"/>
    </row>
    <row r="36" ht="40" customHeight="1">
      <c r="A36" s="32" t="inlineStr">
        <is>
          <t>Act s.12(1), 12(3)</t>
        </is>
      </c>
      <c r="B36" s="33" t="inlineStr">
        <is>
          <t>Right to correction and erasure; duty to erase</t>
        </is>
      </c>
      <c r="C36" s="33" t="inlineStr">
        <is>
          <t>Data Fiduciary</t>
        </is>
      </c>
      <c r="D36" s="33" t="inlineStr">
        <is>
          <t>Yes</t>
        </is>
      </c>
      <c r="E36" s="33" t="inlineStr">
        <is>
          <t>DPDP-Act-S12</t>
        </is>
      </c>
      <c r="F36" s="33" t="inlineStr">
        <is>
          <t>Own row</t>
        </is>
      </c>
      <c r="G36" s="33" t="inlineStr"/>
    </row>
    <row r="37" ht="40" customHeight="1">
      <c r="A37" s="32" t="inlineStr">
        <is>
          <t>Act s.12(2)</t>
        </is>
      </c>
      <c r="B37" s="33" t="inlineStr">
        <is>
          <t>Duty to correct, complete and update</t>
        </is>
      </c>
      <c r="C37" s="33" t="inlineStr">
        <is>
          <t>Data Fiduciary</t>
        </is>
      </c>
      <c r="D37" s="33" t="inlineStr">
        <is>
          <t>Yes</t>
        </is>
      </c>
      <c r="E37" s="33" t="inlineStr">
        <is>
          <t>DPDP-Act-S12</t>
        </is>
      </c>
      <c r="F37" s="33" t="inlineStr">
        <is>
          <t>Own row</t>
        </is>
      </c>
      <c r="G37" s="33" t="inlineStr"/>
    </row>
    <row r="38" ht="40" customHeight="1">
      <c r="A38" s="32" t="inlineStr">
        <is>
          <t>Act s.13(1) to 13(3)</t>
        </is>
      </c>
      <c r="B38" s="33" t="inlineStr">
        <is>
          <t>Right of grievance redressal</t>
        </is>
      </c>
      <c r="C38" s="33" t="inlineStr">
        <is>
          <t>Data Fiduciary; Consent Manager</t>
        </is>
      </c>
      <c r="D38" s="33" t="inlineStr">
        <is>
          <t>Yes</t>
        </is>
      </c>
      <c r="E38" s="33" t="inlineStr">
        <is>
          <t>DPDP-Act-S13</t>
        </is>
      </c>
      <c r="F38" s="33" t="inlineStr">
        <is>
          <t>Own row</t>
        </is>
      </c>
      <c r="G38" s="33" t="inlineStr"/>
    </row>
    <row r="39" ht="40" customHeight="1">
      <c r="A39" s="32" t="inlineStr">
        <is>
          <t>Act s.14(1), 14(2)</t>
        </is>
      </c>
      <c r="B39" s="33" t="inlineStr">
        <is>
          <t>Right to nominate</t>
        </is>
      </c>
      <c r="C39" s="33" t="inlineStr">
        <is>
          <t>Data Fiduciary (to honour it)</t>
        </is>
      </c>
      <c r="D39" s="33" t="inlineStr">
        <is>
          <t>Yes</t>
        </is>
      </c>
      <c r="E39" s="33" t="inlineStr">
        <is>
          <t>DPDP-Act-S14(1)</t>
        </is>
      </c>
      <c r="F39" s="33" t="inlineStr">
        <is>
          <t>Own row</t>
        </is>
      </c>
      <c r="G39" s="33" t="inlineStr"/>
    </row>
    <row r="40" ht="40" customHeight="1">
      <c r="A40" s="21" t="inlineStr">
        <is>
          <t>Act s.15(a) to (e)</t>
        </is>
      </c>
      <c r="B40" s="29" t="inlineStr">
        <is>
          <t>Duties of Data Principal</t>
        </is>
      </c>
      <c r="C40" s="29" t="inlineStr">
        <is>
          <t>Individuals</t>
        </is>
      </c>
      <c r="D40" s="29" t="inlineStr">
        <is>
          <t>No</t>
        </is>
      </c>
      <c r="E40" s="29" t="inlineStr">
        <is>
          <t>Penalties sheet only</t>
        </is>
      </c>
      <c r="F40" s="29" t="inlineStr">
        <is>
          <t>Does not apply to companies</t>
        </is>
      </c>
      <c r="G40" s="29" t="inlineStr">
        <is>
          <t>Binds individuals, not companies (penalty up to ₹10,000). Recommended: Coverage note only, no row (sheet 3).</t>
        </is>
      </c>
    </row>
    <row r="41" ht="40" customHeight="1">
      <c r="A41" s="32" t="inlineStr">
        <is>
          <t>Act s.16(1), 16(2)</t>
        </is>
      </c>
      <c r="B41" s="33" t="inlineStr">
        <is>
          <t>Processing outside India</t>
        </is>
      </c>
      <c r="C41" s="33" t="inlineStr">
        <is>
          <t>Central Government; Data Fiduciary</t>
        </is>
      </c>
      <c r="D41" s="33" t="inlineStr">
        <is>
          <t>Yes</t>
        </is>
      </c>
      <c r="E41" s="33" t="inlineStr">
        <is>
          <t>DPDP-Act-S16</t>
        </is>
      </c>
      <c r="F41" s="33" t="inlineStr">
        <is>
          <t>Own row</t>
        </is>
      </c>
      <c r="G41" s="33" t="inlineStr"/>
    </row>
    <row r="42" ht="40" customHeight="1">
      <c r="A42" s="32" t="inlineStr">
        <is>
          <t>Act s.17(1)(a) to (f)</t>
        </is>
      </c>
      <c r="B42" s="33" t="inlineStr">
        <is>
          <t>Exemptions: legal claims, courts and regulators, offences, foreign contracts, mergers, loan defaulters</t>
        </is>
      </c>
      <c r="C42" s="33" t="inlineStr">
        <is>
          <t>Data Fiduciary</t>
        </is>
      </c>
      <c r="D42" s="33" t="inlineStr">
        <is>
          <t>Yes (exemption)</t>
        </is>
      </c>
      <c r="E42" s="33" t="inlineStr">
        <is>
          <t>DPDP-Act-S17(1)</t>
        </is>
      </c>
      <c r="F42" s="33" t="inlineStr">
        <is>
          <t>Own row</t>
        </is>
      </c>
      <c r="G42" s="33" t="inlineStr">
        <is>
          <t>Includes s.17(1)(f): processing to ascertain the assets and liabilities of a person who has defaulted on a loan.</t>
        </is>
      </c>
    </row>
    <row r="43" ht="40" customHeight="1">
      <c r="A43" s="21" t="inlineStr">
        <is>
          <t>Act s.17(2)(a)</t>
        </is>
      </c>
      <c r="B43" s="29" t="inlineStr">
        <is>
          <t>Exemption for notified State instrumentalities</t>
        </is>
      </c>
      <c r="C43" s="29" t="inlineStr">
        <is>
          <t>State</t>
        </is>
      </c>
      <c r="D43" s="29" t="inlineStr">
        <is>
          <t>No</t>
        </is>
      </c>
      <c r="E43" s="29" t="inlineStr">
        <is>
          <t>Not included</t>
        </is>
      </c>
      <c r="F43" s="29" t="inlineStr">
        <is>
          <t>Does not apply to companies</t>
        </is>
      </c>
      <c r="G43" s="29" t="inlineStr">
        <is>
          <t>Applies to State instrumentalities notified by the Government.</t>
        </is>
      </c>
    </row>
    <row r="44" ht="40" customHeight="1">
      <c r="A44" s="32" t="inlineStr">
        <is>
          <t>Act s.17(2)(b)</t>
        </is>
      </c>
      <c r="B44" s="33" t="inlineStr">
        <is>
          <t>Exemption for research, archiving, statistics</t>
        </is>
      </c>
      <c r="C44" s="33" t="inlineStr">
        <is>
          <t>Data Fiduciary</t>
        </is>
      </c>
      <c r="D44" s="33" t="inlineStr">
        <is>
          <t>Yes (exemption)</t>
        </is>
      </c>
      <c r="E44" s="33" t="inlineStr">
        <is>
          <t>DPDP-Act-S17(2)(b)</t>
        </is>
      </c>
      <c r="F44" s="33" t="inlineStr">
        <is>
          <t>Own row</t>
        </is>
      </c>
      <c r="G44" s="33" t="inlineStr"/>
    </row>
    <row r="45" ht="40" customHeight="1">
      <c r="A45" s="34" t="inlineStr">
        <is>
          <t>Act s.17(3)</t>
        </is>
      </c>
      <c r="B45" s="35" t="inlineStr">
        <is>
          <t>Exemption for notified Data Fiduciaries, including startups</t>
        </is>
      </c>
      <c r="C45" s="35" t="inlineStr">
        <is>
          <t>Data Fiduciary</t>
        </is>
      </c>
      <c r="D45" s="35" t="inlineStr">
        <is>
          <t>Conditional</t>
        </is>
      </c>
      <c r="E45" s="35" t="inlineStr">
        <is>
          <t>Grouped in DPDP-Act-S17(1)</t>
        </is>
      </c>
      <c r="F45" s="35" t="inlineStr">
        <is>
          <t>Grouped in a row</t>
        </is>
      </c>
      <c r="G45" s="35" t="inlineStr">
        <is>
          <t>Applies only if the Government notifies the company or its class.</t>
        </is>
      </c>
    </row>
    <row r="46" ht="40" customHeight="1">
      <c r="A46" s="21" t="inlineStr">
        <is>
          <t>Act s.17(4)</t>
        </is>
      </c>
      <c r="B46" s="29" t="inlineStr">
        <is>
          <t>Exemption for State processing</t>
        </is>
      </c>
      <c r="C46" s="29" t="inlineStr">
        <is>
          <t>State</t>
        </is>
      </c>
      <c r="D46" s="29" t="inlineStr">
        <is>
          <t>No</t>
        </is>
      </c>
      <c r="E46" s="29" t="inlineStr">
        <is>
          <t>Not included</t>
        </is>
      </c>
      <c r="F46" s="29" t="inlineStr">
        <is>
          <t>Does not apply to companies</t>
        </is>
      </c>
      <c r="G46" s="29" t="inlineStr">
        <is>
          <t>Applies to the State.</t>
        </is>
      </c>
    </row>
    <row r="47" ht="40" customHeight="1">
      <c r="A47" s="34" t="inlineStr">
        <is>
          <t>Act s.17(5)</t>
        </is>
      </c>
      <c r="B47" s="35" t="inlineStr">
        <is>
          <t>Government may exempt Data Fiduciaries within five years</t>
        </is>
      </c>
      <c r="C47" s="35" t="inlineStr">
        <is>
          <t>Central Government</t>
        </is>
      </c>
      <c r="D47" s="35" t="inlineStr">
        <is>
          <t>Conditional</t>
        </is>
      </c>
      <c r="E47" s="35" t="inlineStr">
        <is>
          <t>Grouped in DPDP-Act-S17(1)</t>
        </is>
      </c>
      <c r="F47" s="35" t="inlineStr">
        <is>
          <t>Grouped in a row</t>
        </is>
      </c>
      <c r="G47" s="35" t="inlineStr">
        <is>
          <t>Applies only if the Government issues a notification.</t>
        </is>
      </c>
    </row>
    <row r="48" ht="40" customHeight="1">
      <c r="A48" s="21" t="inlineStr">
        <is>
          <t>Act s.18 to s.26</t>
        </is>
      </c>
      <c r="B48" s="29" t="inlineStr">
        <is>
          <t>Board: establishment, members, salaries, disqualifications, resignation, proceedings, staff, public servants, Chairperson</t>
        </is>
      </c>
      <c r="C48" s="29" t="inlineStr">
        <is>
          <t>Central Government; Board</t>
        </is>
      </c>
      <c r="D48" s="29" t="inlineStr">
        <is>
          <t>No</t>
        </is>
      </c>
      <c r="E48" s="29" t="inlineStr">
        <is>
          <t>Not included</t>
        </is>
      </c>
      <c r="F48" s="29" t="inlineStr">
        <is>
          <t>Does not apply to companies</t>
        </is>
      </c>
      <c r="G48" s="29" t="inlineStr">
        <is>
          <t>Constitution and working of the Data Protection Board.</t>
        </is>
      </c>
    </row>
    <row r="49" ht="40" customHeight="1">
      <c r="A49" s="34" t="inlineStr">
        <is>
          <t>Act s.27, s.28</t>
        </is>
      </c>
      <c r="B49" s="35" t="inlineStr">
        <is>
          <t>Board powers and procedure</t>
        </is>
      </c>
      <c r="C49" s="35" t="inlineStr">
        <is>
          <t>Board</t>
        </is>
      </c>
      <c r="D49" s="35" t="inlineStr">
        <is>
          <t>Indirectly</t>
        </is>
      </c>
      <c r="E49" s="35" t="inlineStr">
        <is>
          <t>Grouped in DPDP-Act-S32</t>
        </is>
      </c>
      <c r="F49" s="35" t="inlineStr">
        <is>
          <t>Grouped in a row</t>
        </is>
      </c>
      <c r="G49" s="35" t="inlineStr">
        <is>
          <t>A company is subject to these powers; listed for reference.</t>
        </is>
      </c>
    </row>
    <row r="50" ht="40" customHeight="1">
      <c r="A50" s="34" t="inlineStr">
        <is>
          <t>Act s.29</t>
        </is>
      </c>
      <c r="B50" s="35" t="inlineStr">
        <is>
          <t>Appeal to the Appellate Tribunal</t>
        </is>
      </c>
      <c r="C50" s="35" t="inlineStr">
        <is>
          <t>Appellate Tribunal; aggrieved persons</t>
        </is>
      </c>
      <c r="D50" s="35" t="inlineStr">
        <is>
          <t>Yes (right of appeal)</t>
        </is>
      </c>
      <c r="E50" s="35" t="inlineStr">
        <is>
          <t>Grouped in DPDP-Act-S32</t>
        </is>
      </c>
      <c r="F50" s="35" t="inlineStr">
        <is>
          <t>Grouped in a row</t>
        </is>
      </c>
      <c r="G50" s="35" t="inlineStr"/>
    </row>
    <row r="51" ht="40" customHeight="1">
      <c r="A51" s="21" t="inlineStr">
        <is>
          <t>Act s.30</t>
        </is>
      </c>
      <c r="B51" s="29" t="inlineStr">
        <is>
          <t>Tribunal orders executable as decrees</t>
        </is>
      </c>
      <c r="C51" s="29" t="inlineStr">
        <is>
          <t>Tribunal; civil courts</t>
        </is>
      </c>
      <c r="D51" s="29" t="inlineStr">
        <is>
          <t>No</t>
        </is>
      </c>
      <c r="E51" s="29" t="inlineStr">
        <is>
          <t>Not included</t>
        </is>
      </c>
      <c r="F51" s="29" t="inlineStr">
        <is>
          <t>Does not apply to companies</t>
        </is>
      </c>
      <c r="G51" s="29" t="inlineStr">
        <is>
          <t>Enforcement of Tribunal orders.</t>
        </is>
      </c>
    </row>
    <row r="52" ht="40" customHeight="1">
      <c r="A52" s="34" t="inlineStr">
        <is>
          <t>Act s.31</t>
        </is>
      </c>
      <c r="B52" s="35" t="inlineStr">
        <is>
          <t>Alternate dispute resolution (mediation)</t>
        </is>
      </c>
      <c r="C52" s="35" t="inlineStr">
        <is>
          <t>Board; parties</t>
        </is>
      </c>
      <c r="D52" s="35" t="inlineStr">
        <is>
          <t>Indirectly</t>
        </is>
      </c>
      <c r="E52" s="35" t="inlineStr">
        <is>
          <t>Grouped in DPDP-Act-S32</t>
        </is>
      </c>
      <c r="F52" s="35" t="inlineStr">
        <is>
          <t>Grouped in a row</t>
        </is>
      </c>
      <c r="G52" s="35" t="inlineStr"/>
    </row>
    <row r="53" ht="40" customHeight="1">
      <c r="A53" s="32" t="inlineStr">
        <is>
          <t>Act s.32</t>
        </is>
      </c>
      <c r="B53" s="33" t="inlineStr">
        <is>
          <t>Voluntary undertaking</t>
        </is>
      </c>
      <c r="C53" s="33" t="inlineStr">
        <is>
          <t>Any person</t>
        </is>
      </c>
      <c r="D53" s="33" t="inlineStr">
        <is>
          <t>Yes</t>
        </is>
      </c>
      <c r="E53" s="33" t="inlineStr">
        <is>
          <t>DPDP-Act-S32</t>
        </is>
      </c>
      <c r="F53" s="33" t="inlineStr">
        <is>
          <t>Own row</t>
        </is>
      </c>
      <c r="G53" s="33" t="inlineStr"/>
    </row>
    <row r="54" ht="40" customHeight="1">
      <c r="A54" s="21" t="inlineStr">
        <is>
          <t>Act s.33 and the Schedule</t>
        </is>
      </c>
      <c r="B54" s="29" t="inlineStr">
        <is>
          <t>Penalties</t>
        </is>
      </c>
      <c r="C54" s="29" t="inlineStr">
        <is>
          <t>Any person in breach</t>
        </is>
      </c>
      <c r="D54" s="29" t="inlineStr">
        <is>
          <t>Yes</t>
        </is>
      </c>
      <c r="E54" s="29" t="inlineStr">
        <is>
          <t>Penalties sheet; grouped in DPDP-Act-S32</t>
        </is>
      </c>
      <c r="F54" s="29" t="inlineStr">
        <is>
          <t>Does not apply to companies</t>
        </is>
      </c>
      <c r="G54" s="29" t="inlineStr"/>
    </row>
    <row r="55" ht="40" customHeight="1">
      <c r="A55" s="21" t="inlineStr">
        <is>
          <t>Act s.34, s.35</t>
        </is>
      </c>
      <c r="B55" s="29" t="inlineStr">
        <is>
          <t>Penalties to the Consolidated Fund; protection for good faith</t>
        </is>
      </c>
      <c r="C55" s="29" t="inlineStr">
        <is>
          <t>Government; Board</t>
        </is>
      </c>
      <c r="D55" s="29" t="inlineStr">
        <is>
          <t>No</t>
        </is>
      </c>
      <c r="E55" s="29" t="inlineStr">
        <is>
          <t>Not included</t>
        </is>
      </c>
      <c r="F55" s="29" t="inlineStr">
        <is>
          <t>Does not apply to companies</t>
        </is>
      </c>
      <c r="G55" s="29" t="inlineStr">
        <is>
          <t>Government and Board matters.</t>
        </is>
      </c>
    </row>
    <row r="56" ht="40" customHeight="1">
      <c r="A56" s="34" t="inlineStr">
        <is>
          <t>Act s.36</t>
        </is>
      </c>
      <c r="B56" s="35" t="inlineStr">
        <is>
          <t>Power to call for information</t>
        </is>
      </c>
      <c r="C56" s="35" t="inlineStr">
        <is>
          <t>Data Fiduciary; intermediary</t>
        </is>
      </c>
      <c r="D56" s="35" t="inlineStr">
        <is>
          <t>Yes</t>
        </is>
      </c>
      <c r="E56" s="35" t="inlineStr">
        <is>
          <t>Grouped in DPDP-Rule-23</t>
        </is>
      </c>
      <c r="F56" s="35" t="inlineStr">
        <is>
          <t>Grouped in a row</t>
        </is>
      </c>
      <c r="G56" s="35" t="inlineStr"/>
    </row>
    <row r="57" ht="40" customHeight="1">
      <c r="A57" s="21" t="inlineStr">
        <is>
          <t>Act s.37</t>
        </is>
      </c>
      <c r="B57" s="29" t="inlineStr">
        <is>
          <t>Directions to block public access</t>
        </is>
      </c>
      <c r="C57" s="29" t="inlineStr">
        <is>
          <t>Central Government; intermediaries</t>
        </is>
      </c>
      <c r="D57" s="29" t="inlineStr">
        <is>
          <t>Only for intermediaries</t>
        </is>
      </c>
      <c r="E57" s="29" t="inlineStr">
        <is>
          <t>Not included</t>
        </is>
      </c>
      <c r="F57" s="29" t="inlineStr">
        <is>
          <t>Does not apply to companies</t>
        </is>
      </c>
      <c r="G57" s="29" t="inlineStr">
        <is>
          <t>Applies where the company is an intermediary, after a Board reference. Noted for intermediaries; no row recommended.</t>
        </is>
      </c>
    </row>
    <row r="58" ht="40" customHeight="1">
      <c r="A58" s="32" t="inlineStr">
        <is>
          <t>Act s.38</t>
        </is>
      </c>
      <c r="B58" s="33" t="inlineStr">
        <is>
          <t>Consistency with other laws: DPDP is in addition to other laws and prevails in a conflict</t>
        </is>
      </c>
      <c r="C58" s="33" t="inlineStr">
        <is>
          <t>All</t>
        </is>
      </c>
      <c r="D58" s="33" t="inlineStr">
        <is>
          <t>Yes</t>
        </is>
      </c>
      <c r="E58" s="33" t="inlineStr">
        <is>
          <t>DPDP-Act-S38</t>
        </is>
      </c>
      <c r="F58" s="33" t="inlineStr">
        <is>
          <t>Own row</t>
        </is>
      </c>
      <c r="G58" s="33" t="inlineStr">
        <is>
          <t>Decides which rule applies when DPDP conflicts with a sector rule.</t>
        </is>
      </c>
    </row>
    <row r="59" ht="40" customHeight="1">
      <c r="A59" s="21" t="inlineStr">
        <is>
          <t>Act s.39</t>
        </is>
      </c>
      <c r="B59" s="29" t="inlineStr">
        <is>
          <t>Bar of jurisdiction of civil courts</t>
        </is>
      </c>
      <c r="C59" s="29" t="inlineStr">
        <is>
          <t>Courts</t>
        </is>
      </c>
      <c r="D59" s="29" t="inlineStr">
        <is>
          <t>No</t>
        </is>
      </c>
      <c r="E59" s="29" t="inlineStr">
        <is>
          <t>Not included</t>
        </is>
      </c>
      <c r="F59" s="29" t="inlineStr">
        <is>
          <t>Does not apply to companies</t>
        </is>
      </c>
      <c r="G59" s="29" t="inlineStr">
        <is>
          <t>Court jurisdiction.</t>
        </is>
      </c>
    </row>
    <row r="60" ht="40" customHeight="1">
      <c r="A60" s="21" t="inlineStr">
        <is>
          <t>Act s.40 to s.42</t>
        </is>
      </c>
      <c r="B60" s="29" t="inlineStr">
        <is>
          <t>Rule-making; laying before Parliament; amending the Schedule</t>
        </is>
      </c>
      <c r="C60" s="29" t="inlineStr">
        <is>
          <t>Central Government</t>
        </is>
      </c>
      <c r="D60" s="29" t="inlineStr">
        <is>
          <t>No</t>
        </is>
      </c>
      <c r="E60" s="29" t="inlineStr">
        <is>
          <t>Not included</t>
        </is>
      </c>
      <c r="F60" s="29" t="inlineStr">
        <is>
          <t>Does not apply to companies</t>
        </is>
      </c>
      <c r="G60" s="29" t="inlineStr">
        <is>
          <t>Government powers.</t>
        </is>
      </c>
    </row>
    <row r="61" ht="40" customHeight="1">
      <c r="A61" s="21" t="inlineStr">
        <is>
          <t>Act s.43</t>
        </is>
      </c>
      <c r="B61" s="29" t="inlineStr">
        <is>
          <t>Power to remove difficulties</t>
        </is>
      </c>
      <c r="C61" s="29" t="inlineStr">
        <is>
          <t>Central Government</t>
        </is>
      </c>
      <c r="D61" s="29" t="inlineStr">
        <is>
          <t>No</t>
        </is>
      </c>
      <c r="E61" s="29" t="inlineStr">
        <is>
          <t>Timeline sheet (Order of 5 October 2026)</t>
        </is>
      </c>
      <c r="F61" s="29" t="inlineStr">
        <is>
          <t>Does not apply to companies</t>
        </is>
      </c>
      <c r="G61" s="29" t="inlineStr">
        <is>
          <t>The Order is shown on the Timeline sheet.</t>
        </is>
      </c>
    </row>
    <row r="62" ht="40" customHeight="1">
      <c r="A62" s="21" t="inlineStr">
        <is>
          <t>Act s.44(1)</t>
        </is>
      </c>
      <c r="B62" s="29" t="inlineStr">
        <is>
          <t>Amendment of the TRAI Act: the Appellate Tribunal</t>
        </is>
      </c>
      <c r="C62" s="29" t="inlineStr">
        <is>
          <t>Other law</t>
        </is>
      </c>
      <c r="D62" s="29" t="inlineStr">
        <is>
          <t>No</t>
        </is>
      </c>
      <c r="E62" s="29" t="inlineStr">
        <is>
          <t>Not included</t>
        </is>
      </c>
      <c r="F62" s="29" t="inlineStr">
        <is>
          <t>Does not apply to companies</t>
        </is>
      </c>
      <c r="G62" s="29" t="inlineStr">
        <is>
          <t>Names the Appellate Tribunal for DPDP appeals.</t>
        </is>
      </c>
    </row>
    <row r="63" ht="40" customHeight="1">
      <c r="A63" s="32" t="inlineStr">
        <is>
          <t>Act s.44(2)</t>
        </is>
      </c>
      <c r="B63" s="33" t="inlineStr">
        <is>
          <t>Amendment of the IT Act: Section 43A and Section 87(2)(ob) omitted</t>
        </is>
      </c>
      <c r="C63" s="33" t="inlineStr">
        <is>
          <t>Other law</t>
        </is>
      </c>
      <c r="D63" s="33" t="inlineStr">
        <is>
          <t>Yes</t>
        </is>
      </c>
      <c r="E63" s="33" t="inlineStr">
        <is>
          <t>DPDP-Act-S44(2)</t>
        </is>
      </c>
      <c r="F63" s="33" t="inlineStr">
        <is>
          <t>Own row</t>
        </is>
      </c>
      <c r="G63" s="33" t="inlineStr">
        <is>
          <t>Omits Section 43A of the IT Act.</t>
        </is>
      </c>
    </row>
    <row r="64" ht="40" customHeight="1">
      <c r="A64" s="21" t="inlineStr">
        <is>
          <t>Act s.44(3)</t>
        </is>
      </c>
      <c r="B64" s="29" t="inlineStr">
        <is>
          <t>Amendment of the RTI Act, Section 8(1)(j)</t>
        </is>
      </c>
      <c r="C64" s="29" t="inlineStr">
        <is>
          <t>Public authorities</t>
        </is>
      </c>
      <c r="D64" s="29" t="inlineStr">
        <is>
          <t>No</t>
        </is>
      </c>
      <c r="E64" s="29" t="inlineStr">
        <is>
          <t>Not included</t>
        </is>
      </c>
      <c r="F64" s="29" t="inlineStr">
        <is>
          <t>Does not apply to companies</t>
        </is>
      </c>
      <c r="G64" s="29" t="inlineStr">
        <is>
          <t>Applies to public authorities under the RTI Act.</t>
        </is>
      </c>
    </row>
    <row r="65">
      <c r="A65" s="28" t="inlineStr">
        <is>
          <t>THE RULES</t>
        </is>
      </c>
    </row>
    <row r="66" ht="40" customHeight="1">
      <c r="A66" s="21" t="inlineStr">
        <is>
          <t>Rule 1</t>
        </is>
      </c>
      <c r="B66" s="29" t="inlineStr">
        <is>
          <t>Short title and commencement</t>
        </is>
      </c>
      <c r="C66" s="29" t="inlineStr">
        <is>
          <t>Central Government</t>
        </is>
      </c>
      <c r="D66" s="29" t="inlineStr">
        <is>
          <t>No</t>
        </is>
      </c>
      <c r="E66" s="29" t="inlineStr">
        <is>
          <t>Timeline sheet</t>
        </is>
      </c>
      <c r="F66" s="29" t="inlineStr">
        <is>
          <t>Does not apply to companies</t>
        </is>
      </c>
      <c r="G66" s="29" t="inlineStr">
        <is>
          <t>Dates shown on the Timeline sheet.</t>
        </is>
      </c>
    </row>
    <row r="67" ht="40" customHeight="1">
      <c r="A67" s="21" t="inlineStr">
        <is>
          <t>Rule 2</t>
        </is>
      </c>
      <c r="B67" s="29" t="inlineStr">
        <is>
          <t>Definitions</t>
        </is>
      </c>
      <c r="C67" s="29" t="inlineStr">
        <is>
          <t>All</t>
        </is>
      </c>
      <c r="D67" s="29" t="inlineStr">
        <is>
          <t>No (definitions)</t>
        </is>
      </c>
      <c r="E67" s="29" t="inlineStr">
        <is>
          <t>Not included</t>
        </is>
      </c>
      <c r="F67" s="29" t="inlineStr">
        <is>
          <t>Does not apply to companies</t>
        </is>
      </c>
      <c r="G67" s="29" t="inlineStr">
        <is>
          <t>Definitions, not duties.</t>
        </is>
      </c>
    </row>
    <row r="68" ht="40" customHeight="1">
      <c r="A68" s="34" t="inlineStr">
        <is>
          <t>Rule 3(a), 3(b), 3(c)</t>
        </is>
      </c>
      <c r="B68" s="35" t="inlineStr">
        <is>
          <t>Content and form of the notice</t>
        </is>
      </c>
      <c r="C68" s="35" t="inlineStr">
        <is>
          <t>Data Fiduciary</t>
        </is>
      </c>
      <c r="D68" s="35" t="inlineStr">
        <is>
          <t>Yes</t>
        </is>
      </c>
      <c r="E68" s="35" t="inlineStr">
        <is>
          <t>Grouped in DPDP-Act-S5(1)</t>
        </is>
      </c>
      <c r="F68" s="35" t="inlineStr">
        <is>
          <t>Grouped in a row</t>
        </is>
      </c>
      <c r="G68" s="35" t="inlineStr"/>
    </row>
    <row r="69" ht="40" customHeight="1">
      <c r="A69" s="32" t="inlineStr">
        <is>
          <t>Rule 4(1) to 4(6); First Schedule</t>
        </is>
      </c>
      <c r="B69" s="33" t="inlineStr">
        <is>
          <t>Consent Manager registration and obligations</t>
        </is>
      </c>
      <c r="C69" s="33" t="inlineStr">
        <is>
          <t>Consent Manager; Board</t>
        </is>
      </c>
      <c r="D69" s="33" t="inlineStr">
        <is>
          <t>Indirectly</t>
        </is>
      </c>
      <c r="E69" s="33" t="inlineStr">
        <is>
          <t>DPDP-Rule-4(1)</t>
        </is>
      </c>
      <c r="F69" s="33" t="inlineStr">
        <is>
          <t>Own row</t>
        </is>
      </c>
      <c r="G69" s="33" t="inlineStr">
        <is>
          <t>Binds Consent Managers and the Board.</t>
        </is>
      </c>
    </row>
    <row r="70" ht="40" customHeight="1">
      <c r="A70" s="21" t="inlineStr">
        <is>
          <t>Rule 5(1), 5(2); Second Schedule (State part)</t>
        </is>
      </c>
      <c r="B70" s="29" t="inlineStr">
        <is>
          <t>Processing by the State for subsidies and benefits</t>
        </is>
      </c>
      <c r="C70" s="29" t="inlineStr">
        <is>
          <t>State</t>
        </is>
      </c>
      <c r="D70" s="29" t="inlineStr">
        <is>
          <t>No</t>
        </is>
      </c>
      <c r="E70" s="29" t="inlineStr">
        <is>
          <t>Not included</t>
        </is>
      </c>
      <c r="F70" s="29" t="inlineStr">
        <is>
          <t>Does not apply to companies</t>
        </is>
      </c>
      <c r="G70" s="29" t="inlineStr">
        <is>
          <t>Applies to the State and its instrumentalities.</t>
        </is>
      </c>
    </row>
    <row r="71" ht="40" customHeight="1">
      <c r="A71" s="32" t="inlineStr">
        <is>
          <t>Rule 6(1)(a) to (g)</t>
        </is>
      </c>
      <c r="B71" s="33" t="inlineStr">
        <is>
          <t>Reasonable security safeguards</t>
        </is>
      </c>
      <c r="C71" s="33" t="inlineStr">
        <is>
          <t>Data Fiduciary</t>
        </is>
      </c>
      <c r="D71" s="33" t="inlineStr">
        <is>
          <t>Yes</t>
        </is>
      </c>
      <c r="E71" s="33" t="inlineStr">
        <is>
          <t>DPDP-Rule-6(1)(a) to DPDP-Rule-6(1)(g), one row each</t>
        </is>
      </c>
      <c r="F71" s="33" t="inlineStr">
        <is>
          <t>Own row</t>
        </is>
      </c>
      <c r="G71" s="33" t="inlineStr"/>
    </row>
    <row r="72" ht="40" customHeight="1">
      <c r="A72" s="34" t="inlineStr">
        <is>
          <t>Rule 6(2)</t>
        </is>
      </c>
      <c r="B72" s="35" t="inlineStr">
        <is>
          <t>Meaning of 'computer resource'</t>
        </is>
      </c>
      <c r="C72" s="35" t="inlineStr">
        <is>
          <t>All</t>
        </is>
      </c>
      <c r="D72" s="35" t="inlineStr">
        <is>
          <t>No (definition)</t>
        </is>
      </c>
      <c r="E72" s="35" t="inlineStr">
        <is>
          <t>Grouped in DPDP-Act-S8(5)</t>
        </is>
      </c>
      <c r="F72" s="35" t="inlineStr">
        <is>
          <t>Grouped in a row</t>
        </is>
      </c>
      <c r="G72" s="35" t="inlineStr"/>
    </row>
    <row r="73" ht="40" customHeight="1">
      <c r="A73" s="32" t="inlineStr">
        <is>
          <t>Rule 7(1)</t>
        </is>
      </c>
      <c r="B73" s="33" t="inlineStr">
        <is>
          <t>Breach intimation to each affected person</t>
        </is>
      </c>
      <c r="C73" s="33" t="inlineStr">
        <is>
          <t>Data Fiduciary</t>
        </is>
      </c>
      <c r="D73" s="33" t="inlineStr">
        <is>
          <t>Yes</t>
        </is>
      </c>
      <c r="E73" s="33" t="inlineStr">
        <is>
          <t>DPDP-Rule-7(1)</t>
        </is>
      </c>
      <c r="F73" s="33" t="inlineStr">
        <is>
          <t>Own row</t>
        </is>
      </c>
      <c r="G73" s="33" t="inlineStr"/>
    </row>
    <row r="74" ht="40" customHeight="1">
      <c r="A74" s="32" t="inlineStr">
        <is>
          <t>Rule 7(2)</t>
        </is>
      </c>
      <c r="B74" s="33" t="inlineStr">
        <is>
          <t>Breach intimation to the Board</t>
        </is>
      </c>
      <c r="C74" s="33" t="inlineStr">
        <is>
          <t>Data Fiduciary</t>
        </is>
      </c>
      <c r="D74" s="33" t="inlineStr">
        <is>
          <t>Yes</t>
        </is>
      </c>
      <c r="E74" s="33" t="inlineStr">
        <is>
          <t>DPDP-Rule-7(2)</t>
        </is>
      </c>
      <c r="F74" s="33" t="inlineStr">
        <is>
          <t>Own row</t>
        </is>
      </c>
      <c r="G74" s="33" t="inlineStr"/>
    </row>
    <row r="75" ht="40" customHeight="1">
      <c r="A75" s="32" t="inlineStr">
        <is>
          <t>Rule 8(1), 8(2); Third Schedule</t>
        </is>
      </c>
      <c r="B75" s="33" t="inlineStr">
        <is>
          <t>Erasure after three years for large platforms; 48-hour notice</t>
        </is>
      </c>
      <c r="C75" s="33" t="inlineStr">
        <is>
          <t>Large platforms</t>
        </is>
      </c>
      <c r="D75" s="33" t="inlineStr">
        <is>
          <t>Conditional</t>
        </is>
      </c>
      <c r="E75" s="33" t="inlineStr">
        <is>
          <t>DPDP-Rule-8(1)</t>
        </is>
      </c>
      <c r="F75" s="33" t="inlineStr">
        <is>
          <t>Own row</t>
        </is>
      </c>
      <c r="G75" s="33" t="inlineStr"/>
    </row>
    <row r="76" ht="40" customHeight="1">
      <c r="A76" s="32" t="inlineStr">
        <is>
          <t>Rule 8(3); Seventh Schedule</t>
        </is>
      </c>
      <c r="B76" s="33" t="inlineStr">
        <is>
          <t>One-year minimum retention</t>
        </is>
      </c>
      <c r="C76" s="33" t="inlineStr">
        <is>
          <t>Data Fiduciary</t>
        </is>
      </c>
      <c r="D76" s="33" t="inlineStr">
        <is>
          <t>Yes</t>
        </is>
      </c>
      <c r="E76" s="33" t="inlineStr">
        <is>
          <t>DPDP-Rule-8(3)</t>
        </is>
      </c>
      <c r="F76" s="33" t="inlineStr">
        <is>
          <t>Own row</t>
        </is>
      </c>
      <c r="G76" s="33" t="inlineStr"/>
    </row>
    <row r="77" ht="40" customHeight="1">
      <c r="A77" s="32" t="inlineStr">
        <is>
          <t>Rule 9</t>
        </is>
      </c>
      <c r="B77" s="33" t="inlineStr">
        <is>
          <t>Contact information</t>
        </is>
      </c>
      <c r="C77" s="33" t="inlineStr">
        <is>
          <t>Data Fiduciary</t>
        </is>
      </c>
      <c r="D77" s="33" t="inlineStr">
        <is>
          <t>Yes</t>
        </is>
      </c>
      <c r="E77" s="33" t="inlineStr">
        <is>
          <t>DPDP-Rule-9</t>
        </is>
      </c>
      <c r="F77" s="33" t="inlineStr">
        <is>
          <t>Own row</t>
        </is>
      </c>
      <c r="G77" s="33" t="inlineStr"/>
    </row>
    <row r="78" ht="40" customHeight="1">
      <c r="A78" s="34" t="inlineStr">
        <is>
          <t>Rule 10(1), 10(2)</t>
        </is>
      </c>
      <c r="B78" s="35" t="inlineStr">
        <is>
          <t>Verifiable consent for children</t>
        </is>
      </c>
      <c r="C78" s="35" t="inlineStr">
        <is>
          <t>Data Fiduciary</t>
        </is>
      </c>
      <c r="D78" s="35" t="inlineStr">
        <is>
          <t>Yes</t>
        </is>
      </c>
      <c r="E78" s="35" t="inlineStr">
        <is>
          <t>Grouped in DPDP-Act-S9(1)</t>
        </is>
      </c>
      <c r="F78" s="35" t="inlineStr">
        <is>
          <t>Grouped in a row</t>
        </is>
      </c>
      <c r="G78" s="35" t="inlineStr"/>
    </row>
    <row r="79" ht="40" customHeight="1">
      <c r="A79" s="32" t="inlineStr">
        <is>
          <t>Rule 11(1), 11(2)</t>
        </is>
      </c>
      <c r="B79" s="33" t="inlineStr">
        <is>
          <t>Persons with disability with a lawful guardian</t>
        </is>
      </c>
      <c r="C79" s="33" t="inlineStr">
        <is>
          <t>Data Fiduciary</t>
        </is>
      </c>
      <c r="D79" s="33" t="inlineStr">
        <is>
          <t>Yes</t>
        </is>
      </c>
      <c r="E79" s="33" t="inlineStr">
        <is>
          <t>DPDP-Rule-11(1)</t>
        </is>
      </c>
      <c r="F79" s="33" t="inlineStr">
        <is>
          <t>Own row</t>
        </is>
      </c>
      <c r="G79" s="33" t="inlineStr"/>
    </row>
    <row r="80" ht="40" customHeight="1">
      <c r="A80" s="34" t="inlineStr">
        <is>
          <t>Rule 12(1) to 12(3); Fourth Schedule</t>
        </is>
      </c>
      <c r="B80" s="35" t="inlineStr">
        <is>
          <t>Exemptions for children's data</t>
        </is>
      </c>
      <c r="C80" s="35" t="inlineStr">
        <is>
          <t>Data Fiduciary</t>
        </is>
      </c>
      <c r="D80" s="35" t="inlineStr">
        <is>
          <t>Yes (exemption)</t>
        </is>
      </c>
      <c r="E80" s="35" t="inlineStr">
        <is>
          <t>Grouped in DPDP-Act-S9(3)</t>
        </is>
      </c>
      <c r="F80" s="35" t="inlineStr">
        <is>
          <t>Grouped in a row</t>
        </is>
      </c>
      <c r="G80" s="35" t="inlineStr"/>
    </row>
    <row r="81" ht="40" customHeight="1">
      <c r="A81" s="32" t="inlineStr">
        <is>
          <t>Rule 13(1) to 13(5)</t>
        </is>
      </c>
      <c r="B81" s="33" t="inlineStr">
        <is>
          <t>Significant Data Fiduciary duties</t>
        </is>
      </c>
      <c r="C81" s="33" t="inlineStr">
        <is>
          <t>Significant Data Fiduciary</t>
        </is>
      </c>
      <c r="D81" s="33" t="inlineStr">
        <is>
          <t>Conditional</t>
        </is>
      </c>
      <c r="E81" s="33" t="inlineStr">
        <is>
          <t>DPDP-Rule-13</t>
        </is>
      </c>
      <c r="F81" s="33" t="inlineStr">
        <is>
          <t>Own row</t>
        </is>
      </c>
      <c r="G81" s="33" t="inlineStr"/>
    </row>
    <row r="82" ht="40" customHeight="1">
      <c r="A82" s="34" t="inlineStr">
        <is>
          <t>Rule 14(1), 14(2), 14(5)</t>
        </is>
      </c>
      <c r="B82" s="35" t="inlineStr">
        <is>
          <t>Publishing how to exercise rights; making requests</t>
        </is>
      </c>
      <c r="C82" s="35" t="inlineStr">
        <is>
          <t>Data Fiduciary</t>
        </is>
      </c>
      <c r="D82" s="35" t="inlineStr">
        <is>
          <t>Yes</t>
        </is>
      </c>
      <c r="E82" s="35" t="inlineStr">
        <is>
          <t>Grouped in DPDP-Act-S11(1) and DPDP-Act-S12</t>
        </is>
      </c>
      <c r="F82" s="35" t="inlineStr">
        <is>
          <t>Grouped in a row</t>
        </is>
      </c>
      <c r="G82" s="35" t="inlineStr"/>
    </row>
    <row r="83" ht="40" customHeight="1">
      <c r="A83" s="34" t="inlineStr">
        <is>
          <t>Rule 14(3)</t>
        </is>
      </c>
      <c r="B83" s="35" t="inlineStr">
        <is>
          <t>Grievance response within 90 days</t>
        </is>
      </c>
      <c r="C83" s="35" t="inlineStr">
        <is>
          <t>Data Fiduciary</t>
        </is>
      </c>
      <c r="D83" s="35" t="inlineStr">
        <is>
          <t>Yes</t>
        </is>
      </c>
      <c r="E83" s="35" t="inlineStr">
        <is>
          <t>Grouped in DPDP-Act-S13</t>
        </is>
      </c>
      <c r="F83" s="35" t="inlineStr">
        <is>
          <t>Grouped in a row</t>
        </is>
      </c>
      <c r="G83" s="35" t="inlineStr"/>
    </row>
    <row r="84" ht="40" customHeight="1">
      <c r="A84" s="34" t="inlineStr">
        <is>
          <t>Rule 14(4)</t>
        </is>
      </c>
      <c r="B84" s="35" t="inlineStr">
        <is>
          <t>Nomination</t>
        </is>
      </c>
      <c r="C84" s="35" t="inlineStr">
        <is>
          <t>Data Fiduciary</t>
        </is>
      </c>
      <c r="D84" s="35" t="inlineStr">
        <is>
          <t>Yes</t>
        </is>
      </c>
      <c r="E84" s="35" t="inlineStr">
        <is>
          <t>Grouped in DPDP-Act-S14(1)</t>
        </is>
      </c>
      <c r="F84" s="35" t="inlineStr">
        <is>
          <t>Grouped in a row</t>
        </is>
      </c>
      <c r="G84" s="35" t="inlineStr"/>
    </row>
    <row r="85" ht="40" customHeight="1">
      <c r="A85" s="34" t="inlineStr">
        <is>
          <t>Rule 15</t>
        </is>
      </c>
      <c r="B85" s="35" t="inlineStr">
        <is>
          <t>Transfer outside India</t>
        </is>
      </c>
      <c r="C85" s="35" t="inlineStr">
        <is>
          <t>Data Fiduciary</t>
        </is>
      </c>
      <c r="D85" s="35" t="inlineStr">
        <is>
          <t>Yes</t>
        </is>
      </c>
      <c r="E85" s="35" t="inlineStr">
        <is>
          <t>Grouped in DPDP-Act-S16</t>
        </is>
      </c>
      <c r="F85" s="35" t="inlineStr">
        <is>
          <t>Grouped in a row</t>
        </is>
      </c>
      <c r="G85" s="35" t="inlineStr"/>
    </row>
    <row r="86" ht="40" customHeight="1">
      <c r="A86" s="34" t="inlineStr">
        <is>
          <t>Rule 16; Second Schedule (research part)</t>
        </is>
      </c>
      <c r="B86" s="35" t="inlineStr">
        <is>
          <t>Research, archiving, statistics exemption</t>
        </is>
      </c>
      <c r="C86" s="35" t="inlineStr">
        <is>
          <t>Data Fiduciary</t>
        </is>
      </c>
      <c r="D86" s="35" t="inlineStr">
        <is>
          <t>Yes (exemption)</t>
        </is>
      </c>
      <c r="E86" s="35" t="inlineStr">
        <is>
          <t>Grouped in DPDP-Act-S17(2)(b)</t>
        </is>
      </c>
      <c r="F86" s="35" t="inlineStr">
        <is>
          <t>Grouped in a row</t>
        </is>
      </c>
      <c r="G86" s="35" t="inlineStr"/>
    </row>
    <row r="87" ht="40" customHeight="1">
      <c r="A87" s="21" t="inlineStr">
        <is>
          <t>Rules 17 to 21; Fifth and Sixth Schedules</t>
        </is>
      </c>
      <c r="B87" s="29" t="inlineStr">
        <is>
          <t>Board: appointments, salaries, meetings, digital office, staff</t>
        </is>
      </c>
      <c r="C87" s="29" t="inlineStr">
        <is>
          <t>Central Government; Board</t>
        </is>
      </c>
      <c r="D87" s="29" t="inlineStr">
        <is>
          <t>No</t>
        </is>
      </c>
      <c r="E87" s="29" t="inlineStr">
        <is>
          <t>Not included</t>
        </is>
      </c>
      <c r="F87" s="29" t="inlineStr">
        <is>
          <t>Does not apply to companies</t>
        </is>
      </c>
      <c r="G87" s="29" t="inlineStr">
        <is>
          <t>Constitution and working of the Data Protection Board.</t>
        </is>
      </c>
    </row>
    <row r="88" ht="40" customHeight="1">
      <c r="A88" s="34" t="inlineStr">
        <is>
          <t>Rule 22(1) to 22(3)</t>
        </is>
      </c>
      <c r="B88" s="35" t="inlineStr">
        <is>
          <t>Appeal to the Appellate Tribunal</t>
        </is>
      </c>
      <c r="C88" s="35" t="inlineStr">
        <is>
          <t>Aggrieved persons; Tribunal</t>
        </is>
      </c>
      <c r="D88" s="35" t="inlineStr">
        <is>
          <t>Yes (right of appeal)</t>
        </is>
      </c>
      <c r="E88" s="35" t="inlineStr">
        <is>
          <t>Grouped in DPDP-Act-S32</t>
        </is>
      </c>
      <c r="F88" s="35" t="inlineStr">
        <is>
          <t>Grouped in a row</t>
        </is>
      </c>
      <c r="G88" s="35" t="inlineStr"/>
    </row>
    <row r="89" ht="40" customHeight="1">
      <c r="A89" s="32" t="inlineStr">
        <is>
          <t>Rule 23(1) to 23(3); Seventh Schedule</t>
        </is>
      </c>
      <c r="B89" s="33" t="inlineStr">
        <is>
          <t>Calling for information</t>
        </is>
      </c>
      <c r="C89" s="33" t="inlineStr">
        <is>
          <t>Data Fiduciary; intermediary</t>
        </is>
      </c>
      <c r="D89" s="33" t="inlineStr">
        <is>
          <t>Yes</t>
        </is>
      </c>
      <c r="E89" s="33" t="inlineStr">
        <is>
          <t>DPDP-Rule-23</t>
        </is>
      </c>
      <c r="F89" s="33" t="inlineStr">
        <is>
          <t>Own row</t>
        </is>
      </c>
      <c r="G89" s="33" t="inlineStr"/>
    </row>
  </sheetData>
  <autoFilter ref="A4:G89"/>
  <pageMargins left="0.75" right="0.75" top="1" bottom="1" header="0.5" footer="0.5"/>
</worksheet>
</file>

<file path=xl/worksheets/sheet9.xml><?xml version="1.0" encoding="utf-8"?>
<worksheet xmlns="http://schemas.openxmlformats.org/spreadsheetml/2006/main">
  <sheetPr>
    <tabColor rgb="00999999"/>
    <outlinePr summaryBelow="1" summaryRight="1"/>
    <pageSetUpPr/>
  </sheetPr>
  <dimension ref="A1:D44"/>
  <sheetViews>
    <sheetView workbookViewId="0">
      <selection activeCell="A1" sqref="A1"/>
    </sheetView>
  </sheetViews>
  <sheetFormatPr baseColWidth="8" defaultRowHeight="15"/>
  <cols>
    <col width="26" customWidth="1" min="1" max="1"/>
    <col width="26" customWidth="1" min="2" max="2"/>
    <col width="50" customWidth="1" min="3" max="3"/>
    <col width="60" customWidth="1" min="4" max="4"/>
  </cols>
  <sheetData>
    <row r="1">
      <c r="A1" s="1" t="inlineStr">
        <is>
          <t>Identifier Change Log</t>
        </is>
      </c>
    </row>
    <row r="2">
      <c r="A2" s="2" t="inlineStr">
        <is>
          <t>Version 2 replaced the working codes of version 1 with identifiers from the law's own numbering. Version 3 (14 October 2026, revised 15 October 2026) adds ten rows and the column 'Provisions covered in this row'.</t>
        </is>
      </c>
    </row>
    <row r="4" ht="40" customHeight="1">
      <c r="A4" s="9" t="inlineStr">
        <is>
          <t>Earlier working code (version 1, retired)</t>
        </is>
      </c>
      <c r="B4" s="9" t="inlineStr">
        <is>
          <t>Control identifier</t>
        </is>
      </c>
      <c r="C4" s="9" t="inlineStr">
        <is>
          <t>Main legal provision</t>
        </is>
      </c>
      <c r="D4" s="9" t="inlineStr">
        <is>
          <t>Change and reason</t>
        </is>
      </c>
    </row>
    <row r="5">
      <c r="A5" s="10" t="inlineStr">
        <is>
          <t>LAW-01</t>
        </is>
      </c>
      <c r="B5" s="4" t="inlineStr">
        <is>
          <t>DPDP-Act-S4</t>
        </is>
      </c>
      <c r="C5" s="10" t="inlineStr">
        <is>
          <t>Digital Personal Data Protection Act, 2023, Section 4</t>
        </is>
      </c>
      <c r="D5" s="10" t="inlineStr">
        <is>
          <t>Version 2: identifier follows the numbering of the Act or the Rules so that it can be checked against the Gazette.</t>
        </is>
      </c>
    </row>
    <row r="6">
      <c r="A6" s="10" t="inlineStr">
        <is>
          <t>LAW-02</t>
        </is>
      </c>
      <c r="B6" s="4" t="inlineStr">
        <is>
          <t>DPDP-Act-S7</t>
        </is>
      </c>
      <c r="C6" s="10" t="inlineStr">
        <is>
          <t>Digital Personal Data Protection Act, 2023, Section 7</t>
        </is>
      </c>
      <c r="D6" s="10" t="inlineStr">
        <is>
          <t>Version 2: identifier follows the numbering of the Act or the Rules so that it can be checked against the Gazette.</t>
        </is>
      </c>
    </row>
    <row r="7">
      <c r="A7" s="10" t="inlineStr">
        <is>
          <t>NOT-01</t>
        </is>
      </c>
      <c r="B7" s="4" t="inlineStr">
        <is>
          <t>DPDP-Act-S5(1)</t>
        </is>
      </c>
      <c r="C7" s="10" t="inlineStr">
        <is>
          <t>Digital Personal Data Protection Act, 2023, Section 5(1)</t>
        </is>
      </c>
      <c r="D7" s="10" t="inlineStr">
        <is>
          <t>Version 2: identifier follows the numbering of the Act or the Rules so that it can be checked against the Gazette.</t>
        </is>
      </c>
    </row>
    <row r="8">
      <c r="A8" s="10" t="inlineStr">
        <is>
          <t>NOT-02</t>
        </is>
      </c>
      <c r="B8" s="4" t="inlineStr">
        <is>
          <t>DPDP-Act-S5(2)</t>
        </is>
      </c>
      <c r="C8" s="10" t="inlineStr">
        <is>
          <t>Digital Personal Data Protection Act, 2023, Section 5(2)</t>
        </is>
      </c>
      <c r="D8" s="10" t="inlineStr">
        <is>
          <t>Version 2: identifier follows the numbering of the Act or the Rules so that it can be checked against the Gazette.</t>
        </is>
      </c>
    </row>
    <row r="9">
      <c r="A9" s="10" t="inlineStr">
        <is>
          <t>CON-01</t>
        </is>
      </c>
      <c r="B9" s="4" t="inlineStr">
        <is>
          <t>DPDP-Act-S6(1)</t>
        </is>
      </c>
      <c r="C9" s="10" t="inlineStr">
        <is>
          <t>Digital Personal Data Protection Act, 2023, Section 6(1)</t>
        </is>
      </c>
      <c r="D9" s="10" t="inlineStr">
        <is>
          <t>Version 2: identifier follows the numbering of the Act or the Rules so that it can be checked against the Gazette.</t>
        </is>
      </c>
    </row>
    <row r="10">
      <c r="A10" s="10" t="inlineStr">
        <is>
          <t>CON-02</t>
        </is>
      </c>
      <c r="B10" s="4" t="inlineStr">
        <is>
          <t>DPDP-Act-S6(4)</t>
        </is>
      </c>
      <c r="C10" s="10" t="inlineStr">
        <is>
          <t>Digital Personal Data Protection Act, 2023, Section 6(4)</t>
        </is>
      </c>
      <c r="D10" s="10" t="inlineStr">
        <is>
          <t>Version 2: identifier follows the numbering of the Act or the Rules so that it can be checked against the Gazette.</t>
        </is>
      </c>
    </row>
    <row r="11">
      <c r="A11" s="10" t="inlineStr">
        <is>
          <t>CON-03</t>
        </is>
      </c>
      <c r="B11" s="4" t="inlineStr">
        <is>
          <t>DPDP-Act-S6(10)</t>
        </is>
      </c>
      <c r="C11" s="10" t="inlineStr">
        <is>
          <t>Digital Personal Data Protection Act, 2023, Section 6(10)</t>
        </is>
      </c>
      <c r="D11" s="10" t="inlineStr">
        <is>
          <t>Version 2: identifier follows the numbering of the Act or the Rules so that it can be checked against the Gazette.</t>
        </is>
      </c>
    </row>
    <row r="12">
      <c r="A12" s="10" t="inlineStr">
        <is>
          <t>CON-04</t>
        </is>
      </c>
      <c r="B12" s="4" t="inlineStr">
        <is>
          <t>DPDP-Rule-4(1)</t>
        </is>
      </c>
      <c r="C12" s="10" t="inlineStr">
        <is>
          <t>Digital Personal Data Protection Rules, 2025, Rule 4(1)</t>
        </is>
      </c>
      <c r="D12" s="10" t="inlineStr">
        <is>
          <t>Version 2: identifier follows the numbering of the Act or the Rules so that it can be checked against the Gazette.</t>
        </is>
      </c>
    </row>
    <row r="13">
      <c r="A13" s="10" t="inlineStr">
        <is>
          <t>ACC-01</t>
        </is>
      </c>
      <c r="B13" s="4" t="inlineStr">
        <is>
          <t>DPDP-Act-S8(1)</t>
        </is>
      </c>
      <c r="C13" s="10" t="inlineStr">
        <is>
          <t>Digital Personal Data Protection Act, 2023, Section 8(1)</t>
        </is>
      </c>
      <c r="D13" s="10" t="inlineStr">
        <is>
          <t>Version 3: Rule 6(1)(f) now has its own row and is shown as a cross-reference here.</t>
        </is>
      </c>
    </row>
    <row r="14">
      <c r="A14" s="10" t="inlineStr">
        <is>
          <t>ACC-02</t>
        </is>
      </c>
      <c r="B14" s="4" t="inlineStr">
        <is>
          <t>DPDP-Act-S8(3)</t>
        </is>
      </c>
      <c r="C14" s="10" t="inlineStr">
        <is>
          <t>Digital Personal Data Protection Act, 2023, Section 8(3)</t>
        </is>
      </c>
      <c r="D14" s="10" t="inlineStr">
        <is>
          <t>Version 2: identifier follows the numbering of the Act or the Rules so that it can be checked against the Gazette.</t>
        </is>
      </c>
    </row>
    <row r="15">
      <c r="A15" s="10" t="inlineStr">
        <is>
          <t>New in version 3</t>
        </is>
      </c>
      <c r="B15" s="4" t="inlineStr">
        <is>
          <t>DPDP-Act-S38</t>
        </is>
      </c>
      <c r="C15" s="10" t="inlineStr">
        <is>
          <t>Digital Personal Data Protection Act, 2023, Section 38</t>
        </is>
      </c>
      <c r="D15" s="10" t="inlineStr">
        <is>
          <t>New in version 3: s.38 (the Act prevails over other laws in a conflict) was missing; needed for conflicts with sector rules.</t>
        </is>
      </c>
    </row>
    <row r="16">
      <c r="A16" s="10" t="inlineStr">
        <is>
          <t>New in version 3</t>
        </is>
      </c>
      <c r="B16" s="4" t="inlineStr">
        <is>
          <t>DPDP-Act-S44(2)</t>
        </is>
      </c>
      <c r="C16" s="10" t="inlineStr">
        <is>
          <t>Digital Personal Data Protection Act, 2023, Section 44(2)</t>
        </is>
      </c>
      <c r="D16" s="10" t="inlineStr">
        <is>
          <t>New in version 3: s.44(2), which omits Section 43A of the IT Act, was missing.</t>
        </is>
      </c>
    </row>
    <row r="17">
      <c r="A17" s="10" t="inlineStr">
        <is>
          <t>SEC-01</t>
        </is>
      </c>
      <c r="B17" s="4" t="inlineStr">
        <is>
          <t>DPDP-Act-S8(5)</t>
        </is>
      </c>
      <c r="C17" s="10" t="inlineStr">
        <is>
          <t>Digital Personal Data Protection Act, 2023, Section 8(5)</t>
        </is>
      </c>
      <c r="D17" s="10" t="inlineStr">
        <is>
          <t>Version 3: now the overall duty; each Rule 6(1) clause has its own row.</t>
        </is>
      </c>
    </row>
    <row r="18">
      <c r="A18" s="10" t="inlineStr">
        <is>
          <t>New in version 3</t>
        </is>
      </c>
      <c r="B18" s="4" t="inlineStr">
        <is>
          <t>DPDP-Rule-6(1)(a)</t>
        </is>
      </c>
      <c r="C18" s="10" t="inlineStr">
        <is>
          <t>Digital Personal Data Protection Rules, 2025, Rule 6(1)(a)</t>
        </is>
      </c>
      <c r="D18" s="10" t="inlineStr">
        <is>
          <t>New in version 3: Rule 6(1) split into its seven clauses, because each safeguard usually has its own owner, status and evidence. DPDP-Act-S8(5) remains the overall duty.</t>
        </is>
      </c>
    </row>
    <row r="19">
      <c r="A19" s="10" t="inlineStr">
        <is>
          <t>New in version 3</t>
        </is>
      </c>
      <c r="B19" s="4" t="inlineStr">
        <is>
          <t>DPDP-Rule-6(1)(b)</t>
        </is>
      </c>
      <c r="C19" s="10" t="inlineStr">
        <is>
          <t>Digital Personal Data Protection Rules, 2025, Rule 6(1)(b)</t>
        </is>
      </c>
      <c r="D19" s="10" t="inlineStr">
        <is>
          <t>New in version 3: Rule 6(1) split into its seven clauses, because each safeguard usually has its own owner, status and evidence. DPDP-Act-S8(5) remains the overall duty.</t>
        </is>
      </c>
    </row>
    <row r="20">
      <c r="A20" s="10" t="inlineStr">
        <is>
          <t>New in version 3</t>
        </is>
      </c>
      <c r="B20" s="4" t="inlineStr">
        <is>
          <t>DPDP-Rule-6(1)(c)</t>
        </is>
      </c>
      <c r="C20" s="10" t="inlineStr">
        <is>
          <t>Digital Personal Data Protection Rules, 2025, Rule 6(1)(c)</t>
        </is>
      </c>
      <c r="D20" s="10" t="inlineStr">
        <is>
          <t>New in version 3: Rule 6(1) split into its seven clauses, because each safeguard usually has its own owner, status and evidence. DPDP-Act-S8(5) remains the overall duty.</t>
        </is>
      </c>
    </row>
    <row r="21">
      <c r="A21" s="10" t="inlineStr">
        <is>
          <t>New in version 3</t>
        </is>
      </c>
      <c r="B21" s="4" t="inlineStr">
        <is>
          <t>DPDP-Rule-6(1)(d)</t>
        </is>
      </c>
      <c r="C21" s="10" t="inlineStr">
        <is>
          <t>Digital Personal Data Protection Rules, 2025, Rule 6(1)(d)</t>
        </is>
      </c>
      <c r="D21" s="10" t="inlineStr">
        <is>
          <t>New in version 3: Rule 6(1) split into its seven clauses, because each safeguard usually has its own owner, status and evidence. DPDP-Act-S8(5) remains the overall duty.</t>
        </is>
      </c>
    </row>
    <row r="22">
      <c r="A22" s="10" t="inlineStr">
        <is>
          <t>New in version 3</t>
        </is>
      </c>
      <c r="B22" s="4" t="inlineStr">
        <is>
          <t>DPDP-Rule-6(1)(e)</t>
        </is>
      </c>
      <c r="C22" s="10" t="inlineStr">
        <is>
          <t>Digital Personal Data Protection Rules, 2025, Rule 6(1)(e)</t>
        </is>
      </c>
      <c r="D22" s="10" t="inlineStr">
        <is>
          <t>New in version 3: Rule 6(1) split into its seven clauses, because each safeguard usually has its own owner, status and evidence. DPDP-Act-S8(5) remains the overall duty.</t>
        </is>
      </c>
    </row>
    <row r="23">
      <c r="A23" s="10" t="inlineStr">
        <is>
          <t>New in version 3</t>
        </is>
      </c>
      <c r="B23" s="4" t="inlineStr">
        <is>
          <t>DPDP-Rule-6(1)(f)</t>
        </is>
      </c>
      <c r="C23" s="10" t="inlineStr">
        <is>
          <t>Digital Personal Data Protection Rules, 2025, Rule 6(1)(f)</t>
        </is>
      </c>
      <c r="D23" s="10" t="inlineStr">
        <is>
          <t>New in version 3: Rule 6(1) split into its seven clauses, because each safeguard usually has its own owner, status and evidence. DPDP-Act-S8(5) remains the overall duty.</t>
        </is>
      </c>
    </row>
    <row r="24">
      <c r="A24" s="10" t="inlineStr">
        <is>
          <t>New in version 3</t>
        </is>
      </c>
      <c r="B24" s="4" t="inlineStr">
        <is>
          <t>DPDP-Rule-6(1)(g)</t>
        </is>
      </c>
      <c r="C24" s="10" t="inlineStr">
        <is>
          <t>Digital Personal Data Protection Rules, 2025, Rule 6(1)(g)</t>
        </is>
      </c>
      <c r="D24" s="10" t="inlineStr">
        <is>
          <t>New in version 3: Rule 6(1) split into its seven clauses, because each safeguard usually has its own owner, status and evidence. DPDP-Act-S8(5) remains the overall duty.</t>
        </is>
      </c>
    </row>
    <row r="25">
      <c r="A25" s="10" t="inlineStr">
        <is>
          <t>BRE-01</t>
        </is>
      </c>
      <c r="B25" s="4" t="inlineStr">
        <is>
          <t>DPDP-Rule-7(1)</t>
        </is>
      </c>
      <c r="C25" s="10" t="inlineStr">
        <is>
          <t>Digital Personal Data Protection Rules, 2025, Rule 7(1)</t>
        </is>
      </c>
      <c r="D25" s="10" t="inlineStr">
        <is>
          <t>Version 2: identifier follows the numbering of the Act or the Rules so that it can be checked against the Gazette.</t>
        </is>
      </c>
    </row>
    <row r="26">
      <c r="A26" s="10" t="inlineStr">
        <is>
          <t>BRE-02</t>
        </is>
      </c>
      <c r="B26" s="4" t="inlineStr">
        <is>
          <t>DPDP-Rule-7(2)</t>
        </is>
      </c>
      <c r="C26" s="10" t="inlineStr">
        <is>
          <t>Digital Personal Data Protection Rules, 2025, Rule 7(2)</t>
        </is>
      </c>
      <c r="D26" s="10" t="inlineStr">
        <is>
          <t>Version 2: identifier follows the numbering of the Act or the Rules so that it can be checked against the Gazette.</t>
        </is>
      </c>
    </row>
    <row r="27">
      <c r="A27" s="10" t="inlineStr">
        <is>
          <t>RET-01</t>
        </is>
      </c>
      <c r="B27" s="4" t="inlineStr">
        <is>
          <t>DPDP-Act-S8(7)</t>
        </is>
      </c>
      <c r="C27" s="10" t="inlineStr">
        <is>
          <t>Digital Personal Data Protection Act, 2023, Section 8(7)</t>
        </is>
      </c>
      <c r="D27" s="10" t="inlineStr">
        <is>
          <t>Version 3 (15 October 2026): engineering action now states how backups are handled (kept for weeks, never edited, erasure register re-applied on any restore).</t>
        </is>
      </c>
    </row>
    <row r="28">
      <c r="A28" s="10" t="inlineStr">
        <is>
          <t>RET-02</t>
        </is>
      </c>
      <c r="B28" s="4" t="inlineStr">
        <is>
          <t>DPDP-Rule-8(3)</t>
        </is>
      </c>
      <c r="C28" s="10" t="inlineStr">
        <is>
          <t>Digital Personal Data Protection Rules, 2025, Rule 8(3)</t>
        </is>
      </c>
      <c r="D28" s="10" t="inlineStr">
        <is>
          <t>Version 3 (15 October 2026): the Illustration printed under Rule 8(3) in the Gazette added to the legal text.</t>
        </is>
      </c>
    </row>
    <row r="29">
      <c r="A29" s="10" t="inlineStr">
        <is>
          <t>RET-03</t>
        </is>
      </c>
      <c r="B29" s="4" t="inlineStr">
        <is>
          <t>DPDP-Rule-8(1)</t>
        </is>
      </c>
      <c r="C29" s="10" t="inlineStr">
        <is>
          <t>Digital Personal Data Protection Rules, 2025, Rule 8(1)</t>
        </is>
      </c>
      <c r="D29" s="10" t="inlineStr">
        <is>
          <t>Version 3: s.8(11) (meaning of not having approached the Data Fiduciary) named and added to the legal text.</t>
        </is>
      </c>
    </row>
    <row r="30">
      <c r="A30" s="10" t="inlineStr">
        <is>
          <t>RIG-01</t>
        </is>
      </c>
      <c r="B30" s="4" t="inlineStr">
        <is>
          <t>DPDP-Rule-9</t>
        </is>
      </c>
      <c r="C30" s="10" t="inlineStr">
        <is>
          <t>Digital Personal Data Protection Rules, 2025, Rule 9</t>
        </is>
      </c>
      <c r="D30" s="10" t="inlineStr">
        <is>
          <t>Version 2: identifier follows the numbering of the Act or the Rules so that it can be checked against the Gazette.</t>
        </is>
      </c>
    </row>
    <row r="31">
      <c r="A31" s="10" t="inlineStr">
        <is>
          <t>RIG-02</t>
        </is>
      </c>
      <c r="B31" s="4" t="inlineStr">
        <is>
          <t>DPDP-Act-S11(1)</t>
        </is>
      </c>
      <c r="C31" s="10" t="inlineStr">
        <is>
          <t>Digital Personal Data Protection Act, 2023, Section 11(1)</t>
        </is>
      </c>
      <c r="D31" s="10" t="inlineStr">
        <is>
          <t>Version 3: s.11(2) (sharing with law-enforcement bodies) named and added to the legal text.</t>
        </is>
      </c>
    </row>
    <row r="32">
      <c r="A32" s="10" t="inlineStr">
        <is>
          <t>RIG-03</t>
        </is>
      </c>
      <c r="B32" s="4" t="inlineStr">
        <is>
          <t>DPDP-Act-S12</t>
        </is>
      </c>
      <c r="C32" s="10" t="inlineStr">
        <is>
          <t>Digital Personal Data Protection Act, 2023, Section 12(1) to 12(3)</t>
        </is>
      </c>
      <c r="D32" s="10" t="inlineStr">
        <is>
          <t>Version 3 correction: main provision now reads Section 12(1) to 12(3); s.12(2) (duty to correct, complete and update) added to the legal text.</t>
        </is>
      </c>
    </row>
    <row r="33">
      <c r="A33" s="10" t="inlineStr">
        <is>
          <t>RIG-04</t>
        </is>
      </c>
      <c r="B33" s="4" t="inlineStr">
        <is>
          <t>DPDP-Act-S13</t>
        </is>
      </c>
      <c r="C33" s="10" t="inlineStr">
        <is>
          <t>Digital Personal Data Protection Act, 2023, Section 13</t>
        </is>
      </c>
      <c r="D33" s="10" t="inlineStr">
        <is>
          <t>Version 2: identifier follows the numbering of the Act or the Rules so that it can be checked against the Gazette.</t>
        </is>
      </c>
    </row>
    <row r="34">
      <c r="A34" s="10" t="inlineStr">
        <is>
          <t>RIG-05</t>
        </is>
      </c>
      <c r="B34" s="4" t="inlineStr">
        <is>
          <t>DPDP-Act-S14(1)</t>
        </is>
      </c>
      <c r="C34" s="10" t="inlineStr">
        <is>
          <t>Digital Personal Data Protection Act, 2023, Section 14(1)</t>
        </is>
      </c>
      <c r="D34" s="10" t="inlineStr">
        <is>
          <t>Version 2: identifier follows the numbering of the Act or the Rules so that it can be checked against the Gazette.</t>
        </is>
      </c>
    </row>
    <row r="35">
      <c r="A35" s="10" t="inlineStr">
        <is>
          <t>CHI-01</t>
        </is>
      </c>
      <c r="B35" s="4" t="inlineStr">
        <is>
          <t>DPDP-Act-S9(1)</t>
        </is>
      </c>
      <c r="C35" s="10" t="inlineStr">
        <is>
          <t>Digital Personal Data Protection Act, 2023, Section 9(1)</t>
        </is>
      </c>
      <c r="D35" s="10" t="inlineStr">
        <is>
          <t>Version 3 (15 October 2026): the Illustration printed under Rule 10 in the Gazette added to the legal text.</t>
        </is>
      </c>
    </row>
    <row r="36">
      <c r="A36" s="10" t="inlineStr">
        <is>
          <t>CHI-02</t>
        </is>
      </c>
      <c r="B36" s="4" t="inlineStr">
        <is>
          <t>DPDP-Act-S9(3)</t>
        </is>
      </c>
      <c r="C36" s="10" t="inlineStr">
        <is>
          <t>Digital Personal Data Protection Act, 2023, Section 9(3)</t>
        </is>
      </c>
      <c r="D36" s="10" t="inlineStr">
        <is>
          <t>Version 2: identifier follows the numbering of the Act or the Rules so that it can be checked against the Gazette.</t>
        </is>
      </c>
    </row>
    <row r="37">
      <c r="A37" s="10" t="inlineStr">
        <is>
          <t>CHI-03</t>
        </is>
      </c>
      <c r="B37" s="4" t="inlineStr">
        <is>
          <t>DPDP-Rule-11(1)</t>
        </is>
      </c>
      <c r="C37" s="10" t="inlineStr">
        <is>
          <t>Digital Personal Data Protection Rules, 2025, Rule 11(1)</t>
        </is>
      </c>
      <c r="D37" s="10" t="inlineStr">
        <is>
          <t>Version 2: identifier follows the numbering of the Act or the Rules so that it can be checked against the Gazette.</t>
        </is>
      </c>
    </row>
    <row r="38">
      <c r="A38" s="10" t="inlineStr">
        <is>
          <t>SDF-01</t>
        </is>
      </c>
      <c r="B38" s="4" t="inlineStr">
        <is>
          <t>DPDP-Act-S10(2)</t>
        </is>
      </c>
      <c r="C38" s="10" t="inlineStr">
        <is>
          <t>Digital Personal Data Protection Act, 2023, Section 10(2)</t>
        </is>
      </c>
      <c r="D38" s="10" t="inlineStr">
        <is>
          <t>Version 2: identifier follows the numbering of the Act or the Rules so that it can be checked against the Gazette.</t>
        </is>
      </c>
    </row>
    <row r="39">
      <c r="A39" s="10" t="inlineStr">
        <is>
          <t>SDF-02</t>
        </is>
      </c>
      <c r="B39" s="4" t="inlineStr">
        <is>
          <t>DPDP-Rule-13</t>
        </is>
      </c>
      <c r="C39" s="10" t="inlineStr">
        <is>
          <t>Digital Personal Data Protection Rules, 2025, Rule 13(1) to 13(4)</t>
        </is>
      </c>
      <c r="D39" s="10" t="inlineStr">
        <is>
          <t>Version 2: identifier follows the numbering of the Act or the Rules so that it can be checked against the Gazette.</t>
        </is>
      </c>
    </row>
    <row r="40">
      <c r="A40" s="10" t="inlineStr">
        <is>
          <t>XBT-01</t>
        </is>
      </c>
      <c r="B40" s="4" t="inlineStr">
        <is>
          <t>DPDP-Act-S16</t>
        </is>
      </c>
      <c r="C40" s="10" t="inlineStr">
        <is>
          <t>Digital Personal Data Protection Act, 2023, Section 16</t>
        </is>
      </c>
      <c r="D40" s="10" t="inlineStr">
        <is>
          <t>Version 2: identifier follows the numbering of the Act or the Rules so that it can be checked against the Gazette.</t>
        </is>
      </c>
    </row>
    <row r="41">
      <c r="A41" s="10" t="inlineStr">
        <is>
          <t>GOV-01</t>
        </is>
      </c>
      <c r="B41" s="4" t="inlineStr">
        <is>
          <t>DPDP-Rule-23</t>
        </is>
      </c>
      <c r="C41" s="10" t="inlineStr">
        <is>
          <t>Digital Personal Data Protection Rules, 2025, Rule 23(1) and 23(2)</t>
        </is>
      </c>
      <c r="D41" s="10" t="inlineStr">
        <is>
          <t>Version 2: identifier follows the numbering of the Act or the Rules so that it can be checked against the Gazette.</t>
        </is>
      </c>
    </row>
    <row r="42">
      <c r="A42" s="10" t="inlineStr">
        <is>
          <t>GOV-02</t>
        </is>
      </c>
      <c r="B42" s="4" t="inlineStr">
        <is>
          <t>DPDP-Act-S32</t>
        </is>
      </c>
      <c r="C42" s="10" t="inlineStr">
        <is>
          <t>Digital Personal Data Protection Act, 2023, Section 32</t>
        </is>
      </c>
      <c r="D42" s="10" t="inlineStr">
        <is>
          <t>Version 2: identifier follows the numbering of the Act or the Rules so that it can be checked against the Gazette.</t>
        </is>
      </c>
    </row>
    <row r="43">
      <c r="A43" s="10" t="inlineStr">
        <is>
          <t>EXE-01</t>
        </is>
      </c>
      <c r="B43" s="4" t="inlineStr">
        <is>
          <t>DPDP-Act-S17(2)(b)</t>
        </is>
      </c>
      <c r="C43" s="10" t="inlineStr">
        <is>
          <t>Digital Personal Data Protection Act, 2023, Section 17(2)(b)</t>
        </is>
      </c>
      <c r="D43" s="10" t="inlineStr">
        <is>
          <t>Version 2: identifier follows the numbering of the Act or the Rules so that it can be checked against the Gazette.</t>
        </is>
      </c>
    </row>
    <row r="44">
      <c r="A44" s="10" t="inlineStr">
        <is>
          <t>New in version 3</t>
        </is>
      </c>
      <c r="B44" s="4" t="inlineStr">
        <is>
          <t>DPDP-Act-S17(1)</t>
        </is>
      </c>
      <c r="C44" s="10" t="inlineStr">
        <is>
          <t>Digital Personal Data Protection Act, 2023, Section 17(1)</t>
        </is>
      </c>
      <c r="D44" s="10" t="inlineStr">
        <is>
          <t>New in version 3: exemptions in s.17(1), including s.17(1)(f) for loan defaulters, and the notified exemptions in s.17(3) and s.17(5), were missing.</t>
        </is>
      </c>
    </row>
  </sheetData>
  <pageMargins left="0.75" right="0.75" top="1" bottom="1" header="0.5" footer="0.5"/>
</worksheet>
</file>

<file path=xl/worksheets/sheet10.xml><?xml version="1.0" encoding="utf-8"?>
<worksheet xmlns="http://schemas.openxmlformats.org/spreadsheetml/2006/main">
  <sheetPr>
    <tabColor rgb="00999999"/>
    <outlinePr summaryBelow="1" summaryRight="1"/>
    <pageSetUpPr/>
  </sheetPr>
  <dimension ref="A1:C20"/>
  <sheetViews>
    <sheetView workbookViewId="0">
      <selection activeCell="A1" sqref="A1"/>
    </sheetView>
  </sheetViews>
  <sheetFormatPr baseColWidth="8" defaultRowHeight="15"/>
  <cols>
    <col width="62" customWidth="1" min="1" max="1"/>
    <col width="50" customWidth="1" min="2" max="2"/>
    <col width="70" customWidth="1" min="3" max="3"/>
  </cols>
  <sheetData>
    <row r="1">
      <c r="A1" s="1" t="inlineStr">
        <is>
          <t>Sources and notes</t>
        </is>
      </c>
    </row>
    <row r="3" ht="40" customHeight="1">
      <c r="A3" s="9" t="inlineStr">
        <is>
          <t>Source</t>
        </is>
      </c>
      <c r="B3" s="9" t="inlineStr">
        <is>
          <t>What it was used for</t>
        </is>
      </c>
      <c r="C3" s="9" t="inlineStr">
        <is>
          <t>Type or link</t>
        </is>
      </c>
    </row>
    <row r="4" ht="34" customHeight="1">
      <c r="A4" s="10" t="inlineStr">
        <is>
          <t>Digital Personal Data Protection Act, 2023 (No. 22 of 2023), Gazette of India, Extraordinary, 11 August 2023</t>
        </is>
      </c>
      <c r="B4" s="10" t="inlineStr">
        <is>
          <t>Every 'Act' reference; the Schedule of penalties; the text on the sheet 'Legal Text'</t>
        </is>
      </c>
      <c r="C4" s="10" t="inlineStr">
        <is>
          <t>Primary source (copy provided by Rituraj)</t>
        </is>
      </c>
    </row>
    <row r="5" ht="34" customHeight="1">
      <c r="A5" s="10" t="inlineStr">
        <is>
          <t>Digital Personal Data Protection Rules, 2025, G.S.R. 846(E), Ministry of Electronics and Information Technology, 13 November 2025</t>
        </is>
      </c>
      <c r="B5" s="10" t="inlineStr">
        <is>
          <t>Every 'Rule' reference; commencement under Rule 1; the First, Third, Fourth and Seventh Schedules; the text on the sheet 'Legal Text'</t>
        </is>
      </c>
      <c r="C5" s="10" t="inlineStr">
        <is>
          <t>Primary source (copy provided by Rituraj)</t>
        </is>
      </c>
    </row>
    <row r="6" ht="34" customHeight="1">
      <c r="A6" s="10" t="inlineStr">
        <is>
          <t>ISO/IEC 27001:2022, Annex A</t>
        </is>
      </c>
      <c r="B6" s="10" t="inlineStr">
        <is>
          <t>Annex A numbers in the column 'ISO/IEC 27001:2022 Annex A reference'. Descriptions are our own words, not ISO text</t>
        </is>
      </c>
      <c r="C6" s="10" t="inlineStr">
        <is>
          <t>Standard (copy provided by Rituraj for reference only)</t>
        </is>
      </c>
    </row>
    <row r="7" ht="34" customHeight="1">
      <c r="A7" s="10" t="inlineStr">
        <is>
          <t>ProtectComply: DPDP Rules 2025 timeline (updated 2 September 2026)</t>
        </is>
      </c>
      <c r="B7" s="10" t="inlineStr">
        <is>
          <t>Commencement of Act sections by phase</t>
        </is>
      </c>
      <c r="C7" s="10" t="inlineStr">
        <is>
          <t>https://protectcomply.com/blog/dpdp-rules-2025-timeline</t>
        </is>
      </c>
    </row>
    <row r="8" ht="34" customHeight="1">
      <c r="A8" s="10" t="inlineStr">
        <is>
          <t>ConsentOS: DPDP compliance timeline (updated 9 October 2026)</t>
        </is>
      </c>
      <c r="B8" s="10" t="inlineStr">
        <is>
          <t>Phase dates; status of the 12-month proposal; Board appointments</t>
        </is>
      </c>
      <c r="C8" s="10" t="inlineStr">
        <is>
          <t>https://consentos.in/learn/dpdp-compliance-timeline/</t>
        </is>
      </c>
    </row>
    <row r="9" ht="34" customHeight="1">
      <c r="A9" s="10" t="inlineStr">
        <is>
          <t>S.S. Rana and Co.: MeitY plans to cut short the DPDP compliance timeline (13 February 2026)</t>
        </is>
      </c>
      <c r="B9" s="10" t="inlineStr">
        <is>
          <t>Details of the proposal to shorten the timeline</t>
        </is>
      </c>
      <c r="C9" s="10" t="inlineStr">
        <is>
          <t>https://ssrana.in/articles/meity-plans-to-cut-short-dpdp-compliance-timeline-and-notify-cross-border-restrictions-for-sdfs/</t>
        </is>
      </c>
    </row>
    <row r="10" ht="34" customHeight="1">
      <c r="A10" s="10" t="inlineStr">
        <is>
          <t>LiveLaw: India's Data Protection Board, established in law, absent in fact (1 August 2026)</t>
        </is>
      </c>
      <c r="B10" s="10" t="inlineStr">
        <is>
          <t>Status of Board appointments</t>
        </is>
      </c>
      <c r="C10" s="10" t="inlineStr">
        <is>
          <t>https://www.livelaw.in/articles/india-data-protection-board-established-law-543751</t>
        </is>
      </c>
    </row>
    <row r="11" ht="34" customHeight="1">
      <c r="A11" s="10" t="inlineStr">
        <is>
          <t>India Briefing: DPDP Removal of Difficulties Order 2026</t>
        </is>
      </c>
      <c r="B11" s="10" t="inlineStr">
        <is>
          <t>Content of the order of 5 October 2026</t>
        </is>
      </c>
      <c r="C11" s="10" t="inlineStr">
        <is>
          <t>https://www.india-briefing.com/news/dpdp-removal-of-difficulties-order-2026-consent-data-audit-47274.html/</t>
        </is>
      </c>
    </row>
    <row r="12" ht="34" customHeight="1">
      <c r="A12" s="10" t="inlineStr">
        <is>
          <t>Aparajitha: Recommendations regarding Rule 8(3) (10 June 2026)</t>
        </is>
      </c>
      <c r="B12" s="10" t="inlineStr">
        <is>
          <t>Uncertainty about the scope of Rule 8(3)</t>
        </is>
      </c>
      <c r="C12" s="10" t="inlineStr">
        <is>
          <t>https://www.aparajitha.com/recommendation-letter-recommendations-regarding-rule-83-of-the-digital-personal-data-protection-rules-2025/</t>
        </is>
      </c>
    </row>
    <row r="13" ht="34" customHeight="1">
      <c r="A13" s="10" t="inlineStr">
        <is>
          <t>UK Information Commissioner's Office: Right to erasure (guidance on backups)</t>
        </is>
      </c>
      <c r="B13" s="10" t="inlineStr">
        <is>
          <t>Practice of putting backup data 'beyond use' until it is overwritten on schedule; a comparison only, as UK law does not apply</t>
        </is>
      </c>
      <c r="C13" s="10" t="inlineStr">
        <is>
          <t>https://ico.org.uk/for-organisations/uk-gdpr-guidance-and-resources/individual-rights/individual-rights/right-to-erasure/</t>
        </is>
      </c>
    </row>
    <row r="14" ht="34" customHeight="1">
      <c r="A14" s="10" t="inlineStr">
        <is>
          <t>NALSAR Tech Law Forum: Privacy with a Footnote (14 April 2026)</t>
        </is>
      </c>
      <c r="B14" s="10" t="inlineStr">
        <is>
          <t>Criticism of the retention in Rule 8(3)</t>
        </is>
      </c>
      <c r="C14" s="10" t="inlineStr">
        <is>
          <t>https://techlawforum.nalsar.ac.in/privacy-with-a-footnote-data-retention-under-the-dpdp-framework/</t>
        </is>
      </c>
    </row>
    <row r="16" ht="18" customHeight="1">
      <c r="A16" s="36" t="inlineStr">
        <is>
          <t>NOTES</t>
        </is>
      </c>
    </row>
    <row r="17" ht="30" customHeight="1">
      <c r="A17" s="8" t="inlineStr">
        <is>
          <t>Plain-English requirements simplify the legal text. Read the sheet 'Legal Text' before advising a client.</t>
        </is>
      </c>
    </row>
    <row r="18" ht="30" customHeight="1">
      <c r="A18" s="8" t="inlineStr">
        <is>
          <t>For access, correction and erasure requests the Rules set no specific period. The 90-day limit in Rule 14(3) applies to grievances. Set an internal time limit.</t>
        </is>
      </c>
    </row>
    <row r="19" ht="30" customHeight="1">
      <c r="A19" s="8" t="inlineStr">
        <is>
          <t>Telling the customer what is kept, why and until when after an erasure request is recommended practice. No express duty to do so was found in Rule 14.</t>
        </is>
      </c>
    </row>
    <row r="20" ht="30" customHeight="1">
      <c r="A20" s="8" t="inlineStr">
        <is>
          <t>This workbook is not legal advice. Dates and the Board's status were checked against the sources above as of 14 October 2026. Coverage of every section and Rule was checked against the Gazette text on 14 October 2026.</t>
        </is>
      </c>
    </row>
  </sheetData>
  <mergeCells count="5">
    <mergeCell ref="A19:C19"/>
    <mergeCell ref="A17:C17"/>
    <mergeCell ref="A18:C18"/>
    <mergeCell ref="A20:C20"/>
    <mergeCell ref="A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2026-10-15T17:16:33Z</dcterms:created>
  <dcterms:modified xmlns:dcterms="http://purl.org/dc/terms/" xmlns:xsi="http://www.w3.org/2001/XMLSchema-instance" xsi:type="dcterms:W3CDTF">2026-10-15T17:16:34Z</dcterms:modified>
</cp:coreProperties>
</file>